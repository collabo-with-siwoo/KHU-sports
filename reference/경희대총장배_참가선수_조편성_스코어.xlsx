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2812" windowHeight="8472"/>
  </x:bookViews>
  <x:sheets>
    <x:sheet name="1_참가선수입력" sheetId="1" r:id="rId4"/>
    <x:sheet name="2_1일차조편성" sheetId="2" r:id="rId5"/>
    <x:sheet name="3_입금비용체크" sheetId="3" r:id="rId6"/>
    <x:sheet name="4_스코어입력" sheetId="4" r:id="rId7"/>
    <x:sheet name="5_최종일조편성" sheetId="5" r:id="rId8"/>
    <x:sheet name="6_운영요약" sheetId="6" r:id="rId9"/>
    <x:sheet name="7_사용안내" sheetId="7" r:id="rId10"/>
  </x:sheets>
  <x:definedNames>
    <x:definedName name="_xlnm._FilterDatabase" localSheetId="0" hidden="1">'1_참가선수입력'!$A$3:$W$213</x:definedName>
    <x:definedName name="_xlnm._FilterDatabase" localSheetId="1" hidden="1">'2_1일차조편성'!$A$3:$L$56</x:definedName>
    <x:definedName name="_xlnm._FilterDatabase" localSheetId="2" hidden="1">'3_입금비용체크'!$A$3:$N$213</x:definedName>
    <x:definedName name="_xlnm._FilterDatabase" localSheetId="3" hidden="1">'4_스코어입력'!$A$3:$M$213</x:definedName>
    <x:definedName name="_xlnm._FilterDatabase" localSheetId="4" hidden="1">'5_최종일조편성'!$A$3:$L$29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<x:sst xmlns:r="http://schemas.openxmlformats.org/officeDocument/2006/relationships" xmlns:c="http://schemas.openxmlformats.org/drawingml/2006/chart" xmlns:x="http://schemas.openxmlformats.org/spreadsheetml/2006/main" count="3347" uniqueCount="151">
  <x:si>
    <x:t>정렬키</x:t>
  </x:si>
  <x:si>
    <x:t>2R</x:t>
  </x:si>
  <x:si>
    <x:t>1R</x:t>
  </x:si>
  <x:si>
    <x:t>최종일순번</x:t>
  </x:si>
  <x:si>
    <x:t>전체순위</x:t>
  </x:si>
  <x:si>
    <x:t>카운트백/비고</x:t>
  </x:si>
  <x:si>
    <x:t>최종일 대상</x:t>
  </x:si>
  <x:si>
    <x:t>36홀 합계</x:t>
  </x:si>
  <x:si>
    <x:t>등록/입금/서류/진출자 현황 확인</x:t>
  </x:si>
  <x:si>
    <x:t>참가비 50,000</x:t>
  </x:si>
  <x:si>
    <x:t>1라운드 스코어를 입력합니다.</x:t>
  </x:si>
  <x:si>
    <x:t>전체 현황은 자동 집계됩니다.</x:t>
  </x:si>
  <x:si>
    <x:t>1부 시작</x:t>
  </x:si>
  <x:si>
    <x:t>07:00</x:t>
  </x:si>
  <x:si>
    <x:t>간격(분)</x:t>
  </x:si>
  <x:si>
    <x:t>6/24(수)</x:t>
  </x:si>
  <x:si>
    <x:t>제1라운드</x:t>
  </x:si>
  <x:si>
    <x:t>11:30</x:t>
  </x:si>
  <x:si>
    <x:t>출발시간</x:t>
  </x:si>
  <x:si>
    <x:t>카트/캐디</x:t>
  </x:si>
  <x:si>
    <x:t>2부 시작</x:t>
  </x:si>
  <x:si>
    <x:t>입금메모</x:t>
  </x:si>
  <x:si>
    <x:t>총입금상태</x:t>
  </x:si>
  <x:si>
    <x:t>학교폭력 서약서</x:t>
  </x:si>
  <x:si>
    <x:t>1일차 출발시간</x:t>
  </x:si>
  <x:si>
    <x:t>개인정보 동의서</x:t>
  </x:si>
  <x:si>
    <x:t>제27회 경희대학교 총장배 참가선수 입력표 (최대 210명)</x:t>
  </x:si>
  <x:si>
    <x:t>1일차 조편성은 자동 생성됩니다.</x:t>
  </x:si>
  <x:si>
    <x:t>확인필요</x:t>
  </x:si>
  <x:si>
    <x:t>최대 210명 기준</x:t>
  </x:si>
  <x:si>
    <x:t>남은 여유 인원</x:t>
  </x:si>
  <x:si>
    <x:t>1R 상위 104명</x:t>
  </x:si>
  <x:si>
    <x:t>2_1일차조편성</x:t>
  </x:si>
  <x:si>
    <x:t>3_입금비용체크</x:t>
  </x:si>
  <x:si>
    <x:t>1_참가선수입력</x:t>
  </x:si>
  <x:si>
    <x:t>5_최종일조편성</x:t>
  </x:si>
  <x:si>
    <x:t>1R 칸에 숫자 입력</x:t>
  </x:si>
  <x:si>
    <x:t>101~104위</x:t>
  </x:si>
  <x:si>
    <x:t>운영 현황 자동 요약</x:t>
  </x:si>
  <x:si>
    <x:t>이름 입력 기준</x:t>
  </x:si>
  <x:si>
    <x:t>서류 확인 필요</x:t>
  </x:si>
  <x:si>
    <x:t>서류 전체 완료</x:t>
  </x:si>
  <x:si>
    <x:t>참가비 입금 완료</x:t>
  </x:si>
  <x:si>
    <x:t>입금 완료 기준</x:t>
  </x:si>
  <x:si>
    <x:t>자동화 엑셀 사용 안내</x:t>
  </x:si>
  <x:si>
    <x:t>참가선수 정보를 입력합니다.</x:t>
  </x:si>
  <x:si>
    <x:t>참가자 부담 비용 확인용</x:t>
  </x:si>
  <x:si>
    <x:t>1R 상위 104명 기준</x:t>
  </x:si>
  <x:si>
    <x:t>입력 순서 기준 4명씩 1조</x:t>
  </x:si>
  <x:si>
    <x:t>1부</x:t>
  </x:si>
  <x:si>
    <x:t/>
  </x:si>
  <x:si>
    <x:t>2부</x:t>
  </x:si>
  <x:si>
    <x:t>순번</x:t>
  </x:si>
  <x:si>
    <x:t>원번호</x:t>
  </x:si>
  <x:si>
    <x:t>선수명</x:t>
  </x:si>
  <x:si>
    <x:t>중학생</x:t>
  </x:si>
  <x:si>
    <x:t>메모</x:t>
  </x:si>
  <x:si>
    <x:t>항목</x:t>
  </x:si>
  <x:si>
    <x:t>기준</x:t>
  </x:si>
  <x:si>
    <x:t>값</x:t>
  </x:si>
  <x:si>
    <x:t>1</x:t>
  </x:si>
  <x:si>
    <x:t>2</x:t>
  </x:si>
  <x:si>
    <x:t>6</x:t>
  </x:si>
  <x:si>
    <x:t>순서</x:t>
  </x:si>
  <x:si>
    <x:t>3</x:t>
  </x:si>
  <x:si>
    <x:t>4</x:t>
  </x:si>
  <x:si>
    <x:t>5</x:t>
  </x:si>
  <x:si>
    <x:t>비고</x:t>
  </x:si>
  <x:si>
    <x:t>최종일 시작</x:t>
  </x:si>
  <x:si>
    <x:t>최종라운드</x:t>
  </x:si>
  <x:si>
    <x:t>1~4위</x:t>
  </x:si>
  <x:si>
    <x:t>49~52위</x:t>
  </x:si>
  <x:si>
    <x:t>53~56위</x:t>
  </x:si>
  <x:si>
    <x:t>41~44위</x:t>
  </x:si>
  <x:si>
    <x:t>25~28위</x:t>
  </x:si>
  <x:si>
    <x:t>21~24위</x:t>
  </x:si>
  <x:si>
    <x:t>여자 선수</x:t>
  </x:si>
  <x:si>
    <x:t>33~36위</x:t>
  </x:si>
  <x:si>
    <x:t>17~20위</x:t>
  </x:si>
  <x:si>
    <x:t>남자 선수</x:t>
  </x:si>
  <x:si>
    <x:t>45~48위</x:t>
  </x:si>
  <x:si>
    <x:t>37~40위</x:t>
  </x:si>
  <x:si>
    <x:t>13~16위</x:t>
  </x:si>
  <x:si>
    <x:t>성별 기준</x:t>
  </x:si>
  <x:si>
    <x:t>고등학생</x:t>
  </x:si>
  <x:si>
    <x:t>57~60위</x:t>
  </x:si>
  <x:si>
    <x:t>총 등록 선수</x:t>
  </x:si>
  <x:si>
    <x:t>29~32위</x:t>
  </x:si>
  <x:si>
    <x:t>6/25(목)</x:t>
  </x:si>
  <x:si>
    <x:t>5~8위</x:t>
  </x:si>
  <x:si>
    <x:t>최대 210명</x:t>
  </x:si>
  <x:si>
    <x:t>9~12위</x:t>
  </x:si>
  <x:si>
    <x:t>사용 시트</x:t>
  </x:si>
  <x:si>
    <x:t>4_스코어입력</x:t>
  </x:si>
  <x:si>
    <x:t>65~68위</x:t>
  </x:si>
  <x:si>
    <x:t>69~72위</x:t>
  </x:si>
  <x:si>
    <x:t>93~96위</x:t>
  </x:si>
  <x:si>
    <x:t>85~88위</x:t>
  </x:si>
  <x:si>
    <x:t>89~92위</x:t>
  </x:si>
  <x:si>
    <x:t>97~100위</x:t>
  </x:si>
  <x:si>
    <x:t>서류상태 기준</x:t>
  </x:si>
  <x:si>
    <x:t>1R 순위범위</x:t>
  </x:si>
  <x:si>
    <x:t>77~80위</x:t>
  </x:si>
  <x:si>
    <x:t>73~76위</x:t>
  </x:si>
  <x:si>
    <x:t>81~84위</x:t>
  </x:si>
  <x:si>
    <x:t>해야 할 일</x:t>
  </x:si>
  <x:si>
    <x:t>참가구분 기준</x:t>
  </x:si>
  <x:si>
    <x:t>61~64위</x:t>
  </x:si>
  <x:si>
    <x:t>최종일 진출자</x:t>
  </x:si>
  <x:si>
    <x:t>6_운영요약</x:t>
  </x:si>
  <x:si>
    <x:t>스코어 입력 및 최종일 진출 자동 산정</x:t>
  </x:si>
  <x:si>
    <x:t>참가구분</x:t>
  </x:si>
  <x:si>
    <x:t>생년월일</x:t>
  </x:si>
  <x:si>
    <x:t>선수 연락처</x:t>
  </x:si>
  <x:si>
    <x:t>보호자 연락처</x:t>
  </x:si>
  <x:si>
    <x:t>참가비 입금</x:t>
  </x:si>
  <x:si>
    <x:t>안전 서약서</x:t>
  </x:si>
  <x:si>
    <x:t>1일차 부</x:t>
  </x:si>
  <x:si>
    <x:t>서류상태</x:t>
  </x:si>
  <x:si>
    <x:t>1일차 조</x:t>
  </x:si>
  <x:si>
    <x:t>최종일 진출</x:t>
  </x:si>
  <x:si>
    <x:t>1일차 자동 조편성표 (입력 순서 기준 / 4인 1조)</x:t>
  </x:si>
  <x:si>
    <x:t>구분/성별 확인</x:t>
  </x:si>
  <x:si>
    <x:t>참가비 및 참가자 부담 비용 체크표</x:t>
  </x:si>
  <x:si>
    <x:t>조식</x:t>
  </x:si>
  <x:si>
    <x:t>중식</x:t>
  </x:si>
  <x:si>
    <x:t>카트비</x:t>
  </x:si>
  <x:si>
    <x:t>그린피</x:t>
  </x:si>
  <x:si>
    <x:t>최종일 자동 조편성표 (1R 상위 104명 기준)</x:t>
  </x:si>
  <x:si>
    <x:t>입금일</x:t>
  </x:si>
  <x:si>
    <x:t>신청서</x:t>
  </x:si>
  <x:si>
    <x:t>접수일</x:t>
  </x:si>
  <x:si>
    <x:t>이메일</x:t>
  </x:si>
  <x:si>
    <x:t>성별</x:t>
  </x:si>
  <x:si>
    <x:t>이름</x:t>
  </x:si>
  <x:si>
    <x:t>학교</x:t>
  </x:si>
  <x:si>
    <x:t>학년</x:t>
  </x:si>
  <x:si>
    <x:t>번호</x:t>
  </x:si>
  <x:si>
    <x:t>조</x:t>
  </x:si>
  <x:si>
    <x:t>객실</x:t>
  </x:si>
  <x:si>
    <x:t>라운드</x:t>
  </x:si>
  <x:si>
    <x:t>캐디피</x:t>
  </x:si>
  <x:si>
    <x:t>선수4</x:t>
  </x:si>
  <x:si>
    <x:t>선수1</x:t>
  </x:si>
  <x:si>
    <x:t>선수3</x:t>
  </x:si>
  <x:si>
    <x:t>부</x:t>
  </x:si>
  <x:si>
    <x:t>선수2</x:t>
  </x:si>
  <x:si>
    <x:t>일자</x:t>
  </x:si>
  <x:si>
    <x:t>참가구분/성별/입금/서류는 드롭다운 선택</x:t>
  </x:si>
  <x:si>
    <x:t>참가비 및 비용 체크는 별도 관리합니다.</x:t>
  </x:si>
  <x:si>
    <x:t>최종일 진출자와 조편성이 자동 생성됩니다.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</x:si>
</x:sst>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hh:mm"/>
  </x:numFmts>
  <x:fonts count="10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5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5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ffffff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ffff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7e6e6"/>
      </x:patternFill>
    </x:fill>
    <x:fill>
      <x:patternFill patternType="solid">
        <x:fgColor rgb="fff4f9fc"/>
      </x:patternFill>
    </x:fill>
    <x:fill>
      <x:patternFill patternType="solid">
        <x:fgColor rgb="ffd9eaf7"/>
      </x:patternFill>
    </x:fill>
  </x:fills>
  <x:borders count="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>
        <x:color indexed="64"/>
      </x:left>
      <x:right>
        <x:color indexed="64"/>
      </x:right>
      <x:top>
        <x:color indexed="64"/>
      </x:top>
      <x:bottom style="thin">
        <x:color rgb="ffd9e2f3"/>
      </x:bottom>
      <x:diagonal>
        <x:color indexed="64"/>
      </x:diagonal>
    </x:border>
  </x:borders>
  <x:cellStyleXfs count="15">
    <x:xf numFmtId="0" fontId="0" fillId="0" borderId="0">
      <x:alignment horizontal="general" vertical="bottom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15"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0" xfId="0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4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0" xfId="0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3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3" borderId="1" xfId="0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0" xfId="0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0" xfId="0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2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2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3" borderId="1" xfId="0" applyBorder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3" borderId="1" xfId="0" applyBorder="1" applyAlignment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5" borderId="1" xfId="0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5" borderId="1" xfId="0" applyBorder="1" applyAlignment="1">
          <x:alignment horizontal="center" vertical="center" wrapText="1"/>
        </x:xf>
      </mc:Fallback>
    </mc:AlternateContent>
    <x:xf numFmtId="0" fontId="8" fillId="2" borderId="1" xfId="0" applyBorder="1" applyAlignment="1">
      <x:alignment horizontal="left" vertical="center" wrapText="1"/>
    </x:xf>
    <x:xf numFmtId="0" fontId="0" fillId="4" borderId="1" xfId="0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2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0" xfId="0" applyAlignment="1">
          <x:alignment horizontal="center" vertical="center"/>
        </x:xf>
      </mc:Fallback>
    </mc:AlternateContent>
  </x:cellXfs>
  <x:cellStyles count="1">
    <x:cellStyle xfId="0" builtinId="0"/>
  </x:cellStyles>
  <x:dxfs count="21">
    <x:dxf>
      <x:fill>
        <x:patternFill patternType="solid">
          <x:fgColor rgb="ffc6efce"/>
        </x:patternFill>
      </x:fill>
    </x:dxf>
    <x:dxf>
      <x:fill>
        <x:patternFill patternType="solid">
          <x:fgColor rgb="ffffc7ce"/>
        </x:patternFill>
      </x:fill>
    </x:dxf>
    <x:dxf>
      <x:fill>
        <x:patternFill patternType="solid">
          <x:fgColor rgb="ffffeb9c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dce6f2"/>
              <x:bgColor rgb="ffdce6f2"/>
            </x:patternFill>
          </x:fill>
          <x:border>
            <x:top style="thin">
              <x:color rgb="ff96b3d7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4f81bd"/>
            </x:top>
            <x:bottom style="thin">
              <x:color rgb="ff4f81bd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96b3d7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96b3d7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x:dxf>
      <x:fill>
        <x:patternFill patternType="solid">
          <x:fgColor rgb="ffdce6f2"/>
          <x:bgColor rgb="ffdce6f2"/>
        </x:patternFill>
      </x:fill>
      <x:border>
        <x:bottom style="thin">
          <x:color rgb="ff96b3d7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ce6f2"/>
              <x:bgColor rgb="ffdce6f2"/>
            </x:patternFill>
          </x:fill>
          <x:border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4f81bd"/>
              <x:bgColor rgb="ff4f81bd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4f81bd"/>
              <x:bgColor rgb="ff4f81bd"/>
            </x:patternFill>
          </x:fill>
        </x:dxf>
      </mc:Fallback>
    </mc:AlternateContent>
    <x:dxf>
      <x:fill>
        <x:patternFill patternType="solid">
          <x:fgColor rgb="ffb8cce5"/>
          <x:bgColor rgb="ffb8cce5"/>
        </x:patternFill>
      </x:fill>
    </x:dxf>
    <x:dxf>
      <x:fill>
        <x:patternFill patternType="solid">
          <x:fgColor rgb="ffb8cce5"/>
          <x:bgColor rgb="ffb8cce5"/>
        </x:patternFill>
      </x:fill>
    </x:dxf>
  </x:dxfs>
  <x:tableStyles count="0" defaultTableStyle="TableStyleMedium9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W213"/>
  <x:sheetViews>
    <x:sheetView showGridLines="0" tabSelected="1" topLeftCell="A1" zoomScaleNormal="100" zoomScaleSheetLayoutView="75" workbookViewId="0">
      <x:pane xSplit="0" ySplit="3" topLeftCell="A4" activePane="bottomLeft" state="frozen"/>
      <x:selection pane="bottomLeft" activeCell="A1" activeCellId="0" sqref="A1:A1"/>
    </x:sheetView>
  </x:sheetViews>
  <x:sheetFormatPr defaultColWidth="8.796875" defaultRowHeight="16.399999999999999"/>
  <x:cols>
    <x:col min="1" max="1" width="6" customWidth="1"/>
    <x:col min="2" max="2" width="12" customWidth="1"/>
    <x:col min="3" max="3" width="10" customWidth="1"/>
    <x:col min="4" max="4" width="7" customWidth="1"/>
    <x:col min="5" max="5" width="12" customWidth="1"/>
    <x:col min="6" max="6" width="18" customWidth="1"/>
    <x:col min="7" max="7" width="9" customWidth="1"/>
    <x:col min="8" max="8" width="13" customWidth="1"/>
    <x:col min="9" max="10" width="15" customWidth="1"/>
    <x:col min="11" max="11" width="22" customWidth="1"/>
    <x:col min="12" max="13" width="12" customWidth="1"/>
    <x:col min="14" max="14" width="14" customWidth="1"/>
    <x:col min="15" max="15" width="12" customWidth="1"/>
    <x:col min="16" max="16" width="14" customWidth="1"/>
    <x:col min="17" max="17" width="10" customWidth="1"/>
    <x:col min="18" max="18" width="12" customWidth="1"/>
    <x:col min="19" max="19" width="10" customWidth="1"/>
    <x:col min="20" max="20" width="8" customWidth="1"/>
    <x:col min="21" max="21" width="13" customWidth="1"/>
    <x:col min="22" max="22" width="12" customWidth="1"/>
    <x:col min="23" max="23" width="22" customWidth="1"/>
  </x:cols>
  <x:sheetData>
    <x:row r="1" spans="1:23" ht="28" customHeight="1">
      <x:c r="A1" s="14" t="s">
        <x:v>26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</x:row>
    <x:row r="3" spans="1:23" ht="27.5">
      <x:c r="A3" s="2" t="s">
        <x:v>137</x:v>
      </x:c>
      <x:c r="B3" s="2" t="s">
        <x:v>131</x:v>
      </x:c>
      <x:c r="C3" s="2" t="s">
        <x:v>111</x:v>
      </x:c>
      <x:c r="D3" s="2" t="s">
        <x:v>133</x:v>
      </x:c>
      <x:c r="E3" s="2" t="s">
        <x:v>134</x:v>
      </x:c>
      <x:c r="F3" s="2" t="s">
        <x:v>135</x:v>
      </x:c>
      <x:c r="G3" s="2" t="s">
        <x:v>136</x:v>
      </x:c>
      <x:c r="H3" s="2" t="s">
        <x:v>112</x:v>
      </x:c>
      <x:c r="I3" s="2" t="s">
        <x:v>113</x:v>
      </x:c>
      <x:c r="J3" s="2" t="s">
        <x:v>114</x:v>
      </x:c>
      <x:c r="K3" s="2" t="s">
        <x:v>132</x:v>
      </x:c>
      <x:c r="L3" s="2" t="s">
        <x:v>115</x:v>
      </x:c>
      <x:c r="M3" s="2" t="s">
        <x:v>129</x:v>
      </x:c>
      <x:c r="N3" s="2" t="s">
        <x:v>23</x:v>
      </x:c>
      <x:c r="O3" s="2" t="s">
        <x:v>116</x:v>
      </x:c>
      <x:c r="P3" s="2" t="s">
        <x:v>25</x:v>
      </x:c>
      <x:c r="Q3" s="2" t="s">
        <x:v>130</x:v>
      </x:c>
      <x:c r="R3" s="2" t="s">
        <x:v>118</x:v>
      </x:c>
      <x:c r="S3" s="2" t="s">
        <x:v>119</x:v>
      </x:c>
      <x:c r="T3" s="2" t="s">
        <x:v>117</x:v>
      </x:c>
      <x:c r="U3" s="2" t="s">
        <x:v>24</x:v>
      </x:c>
      <x:c r="V3" s="2" t="s">
        <x:v>120</x:v>
      </x:c>
      <x:c r="W3" s="2" t="s">
        <x:v>67</x:v>
      </x:c>
    </x:row>
    <x:row r="4" spans="1:23">
      <x:c r="A4" s="3">
        <x:v>1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3" t="str">
        <x:f>IF(AND(L4="완료",N4="완료",O4="완료",P4="완료",Q4="완료"),"완료","확인필요")</x:f>
        <x:v>확인필요</x:v>
      </x:c>
      <x:c r="S4" s="3" t="str">
        <x:f>IF(E4&lt;&gt;"",ROUNDUP(A4/4,0),"")</x:f>
        <x:v/>
      </x:c>
      <x:c r="T4" s="3" t="str">
        <x:f>IF(S4="","",IF(S4&lt;=26,"1부","2부"))</x:f>
        <x:v/>
      </x:c>
      <x:c r="U4" s="3" t="str">
        <x:f>IF(S4="","",INDEX('2_1일차조편성'!$E$4:$E$56,S4))</x:f>
        <x:v/>
      </x:c>
      <x:c r="V4" s="3" t="str">
        <x:f>IFERROR(IF(VLOOKUP(A4,'4_스코어입력'!$A$4:$K$213,11,FALSE)&lt;=104,"진출",""),"")</x:f>
        <x:v/>
      </x:c>
      <x:c r="W4" s="4"/>
    </x:row>
    <x:row r="5" spans="1:23">
      <x:c r="A5" s="3">
        <x:v>2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3" t="str">
        <x:f>IF(AND(L5="완료",N5="완료",O5="완료",P5="완료",Q5="완료"),"완료","확인필요")</x:f>
        <x:v>확인필요</x:v>
      </x:c>
      <x:c r="S5" s="3" t="str">
        <x:f>IF(E5&lt;&gt;"",ROUNDUP(A5/4,0),"")</x:f>
        <x:v/>
      </x:c>
      <x:c r="T5" s="3" t="str">
        <x:f>IF(S5="","",IF(S5&lt;=26,"1부","2부"))</x:f>
        <x:v/>
      </x:c>
      <x:c r="U5" s="3" t="str">
        <x:f>IF(S5="","",INDEX('2_1일차조편성'!$E$4:$E$56,S5))</x:f>
        <x:v/>
      </x:c>
      <x:c r="V5" s="3" t="str">
        <x:f>IFERROR(IF(VLOOKUP(A5,'4_스코어입력'!$A$4:$K$213,11,FALSE)&lt;=104,"진출",""),"")</x:f>
        <x:v/>
      </x:c>
      <x:c r="W5" s="4"/>
    </x:row>
    <x:row r="6" spans="1:23">
      <x:c r="A6" s="3">
        <x:v>3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3" t="str">
        <x:f>IF(AND(L6="완료",N6="완료",O6="완료",P6="완료",Q6="완료"),"완료","확인필요")</x:f>
        <x:v>확인필요</x:v>
      </x:c>
      <x:c r="S6" s="3" t="str">
        <x:f>IF(E6&lt;&gt;"",ROUNDUP(A6/4,0),"")</x:f>
        <x:v/>
      </x:c>
      <x:c r="T6" s="3" t="str">
        <x:f>IF(S6="","",IF(S6&lt;=26,"1부","2부"))</x:f>
        <x:v/>
      </x:c>
      <x:c r="U6" s="3" t="str">
        <x:f>IF(S6="","",INDEX('2_1일차조편성'!$E$4:$E$56,S6))</x:f>
        <x:v/>
      </x:c>
      <x:c r="V6" s="3" t="str">
        <x:f>IFERROR(IF(VLOOKUP(A6,'4_스코어입력'!$A$4:$K$213,11,FALSE)&lt;=104,"진출",""),"")</x:f>
        <x:v/>
      </x:c>
      <x:c r="W6" s="4"/>
    </x:row>
    <x:row r="7" spans="1:23">
      <x:c r="A7" s="3">
        <x:v>4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3" t="str">
        <x:f>IF(AND(L7="완료",N7="완료",O7="완료",P7="완료",Q7="완료"),"완료","확인필요")</x:f>
        <x:v>확인필요</x:v>
      </x:c>
      <x:c r="S7" s="3" t="str">
        <x:f>IF(E7&lt;&gt;"",ROUNDUP(A7/4,0),"")</x:f>
        <x:v/>
      </x:c>
      <x:c r="T7" s="3" t="str">
        <x:f>IF(S7="","",IF(S7&lt;=26,"1부","2부"))</x:f>
        <x:v/>
      </x:c>
      <x:c r="U7" s="3" t="str">
        <x:f>IF(S7="","",INDEX('2_1일차조편성'!$E$4:$E$56,S7))</x:f>
        <x:v/>
      </x:c>
      <x:c r="V7" s="3" t="str">
        <x:f>IFERROR(IF(VLOOKUP(A7,'4_스코어입력'!$A$4:$K$213,11,FALSE)&lt;=104,"진출",""),"")</x:f>
        <x:v/>
      </x:c>
      <x:c r="W7" s="4"/>
    </x:row>
    <x:row r="8" spans="1:23">
      <x:c r="A8" s="3">
        <x:v>5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3" t="str">
        <x:f>IF(AND(L8="완료",N8="완료",O8="완료",P8="완료",Q8="완료"),"완료","확인필요")</x:f>
        <x:v>확인필요</x:v>
      </x:c>
      <x:c r="S8" s="3" t="str">
        <x:f>IF(E8&lt;&gt;"",ROUNDUP(A8/4,0),"")</x:f>
        <x:v/>
      </x:c>
      <x:c r="T8" s="3" t="str">
        <x:f>IF(S8="","",IF(S8&lt;=26,"1부","2부"))</x:f>
        <x:v/>
      </x:c>
      <x:c r="U8" s="3" t="str">
        <x:f>IF(S8="","",INDEX('2_1일차조편성'!$E$4:$E$56,S8))</x:f>
        <x:v/>
      </x:c>
      <x:c r="V8" s="3" t="str">
        <x:f>IFERROR(IF(VLOOKUP(A8,'4_스코어입력'!$A$4:$K$213,11,FALSE)&lt;=104,"진출",""),"")</x:f>
        <x:v/>
      </x:c>
      <x:c r="W8" s="4"/>
    </x:row>
    <x:row r="9" spans="1:23">
      <x:c r="A9" s="3">
        <x:v>6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3" t="str">
        <x:f>IF(AND(L9="완료",N9="완료",O9="완료",P9="완료",Q9="완료"),"완료","확인필요")</x:f>
        <x:v>확인필요</x:v>
      </x:c>
      <x:c r="S9" s="3" t="str">
        <x:f>IF(E9&lt;&gt;"",ROUNDUP(A9/4,0),"")</x:f>
        <x:v/>
      </x:c>
      <x:c r="T9" s="3" t="str">
        <x:f>IF(S9="","",IF(S9&lt;=26,"1부","2부"))</x:f>
        <x:v/>
      </x:c>
      <x:c r="U9" s="3" t="str">
        <x:f>IF(S9="","",INDEX('2_1일차조편성'!$E$4:$E$56,S9))</x:f>
        <x:v/>
      </x:c>
      <x:c r="V9" s="3" t="str">
        <x:f>IFERROR(IF(VLOOKUP(A9,'4_스코어입력'!$A$4:$K$213,11,FALSE)&lt;=104,"진출",""),"")</x:f>
        <x:v/>
      </x:c>
      <x:c r="W9" s="4"/>
    </x:row>
    <x:row r="10" spans="1:23">
      <x:c r="A10" s="3">
        <x:v>7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3" t="str">
        <x:f>IF(AND(L10="완료",N10="완료",O10="완료",P10="완료",Q10="완료"),"완료","확인필요")</x:f>
        <x:v>확인필요</x:v>
      </x:c>
      <x:c r="S10" s="3" t="str">
        <x:f>IF(E10&lt;&gt;"",ROUNDUP(A10/4,0),"")</x:f>
        <x:v/>
      </x:c>
      <x:c r="T10" s="3" t="str">
        <x:f>IF(S10="","",IF(S10&lt;=26,"1부","2부"))</x:f>
        <x:v/>
      </x:c>
      <x:c r="U10" s="3" t="str">
        <x:f>IF(S10="","",INDEX('2_1일차조편성'!$E$4:$E$56,S10))</x:f>
        <x:v/>
      </x:c>
      <x:c r="V10" s="3" t="str">
        <x:f>IFERROR(IF(VLOOKUP(A10,'4_스코어입력'!$A$4:$K$213,11,FALSE)&lt;=104,"진출",""),"")</x:f>
        <x:v/>
      </x:c>
      <x:c r="W10" s="4"/>
    </x:row>
    <x:row r="11" spans="1:23">
      <x:c r="A11" s="3">
        <x:v>8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3" t="str">
        <x:f>IF(AND(L11="완료",N11="완료",O11="완료",P11="완료",Q11="완료"),"완료","확인필요")</x:f>
        <x:v>확인필요</x:v>
      </x:c>
      <x:c r="S11" s="3" t="str">
        <x:f>IF(E11&lt;&gt;"",ROUNDUP(A11/4,0),"")</x:f>
        <x:v/>
      </x:c>
      <x:c r="T11" s="3" t="str">
        <x:f>IF(S11="","",IF(S11&lt;=26,"1부","2부"))</x:f>
        <x:v/>
      </x:c>
      <x:c r="U11" s="3" t="str">
        <x:f>IF(S11="","",INDEX('2_1일차조편성'!$E$4:$E$56,S11))</x:f>
        <x:v/>
      </x:c>
      <x:c r="V11" s="3" t="str">
        <x:f>IFERROR(IF(VLOOKUP(A11,'4_스코어입력'!$A$4:$K$213,11,FALSE)&lt;=104,"진출",""),"")</x:f>
        <x:v/>
      </x:c>
      <x:c r="W11" s="4"/>
    </x:row>
    <x:row r="12" spans="1:23">
      <x:c r="A12" s="3">
        <x:v>9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3" t="str">
        <x:f>IF(AND(L12="완료",N12="완료",O12="완료",P12="완료",Q12="완료"),"완료","확인필요")</x:f>
        <x:v>확인필요</x:v>
      </x:c>
      <x:c r="S12" s="3" t="str">
        <x:f>IF(E12&lt;&gt;"",ROUNDUP(A12/4,0),"")</x:f>
        <x:v/>
      </x:c>
      <x:c r="T12" s="3" t="str">
        <x:f>IF(S12="","",IF(S12&lt;=26,"1부","2부"))</x:f>
        <x:v/>
      </x:c>
      <x:c r="U12" s="3" t="str">
        <x:f>IF(S12="","",INDEX('2_1일차조편성'!$E$4:$E$56,S12))</x:f>
        <x:v/>
      </x:c>
      <x:c r="V12" s="3" t="str">
        <x:f>IFERROR(IF(VLOOKUP(A12,'4_스코어입력'!$A$4:$K$213,11,FALSE)&lt;=104,"진출",""),"")</x:f>
        <x:v/>
      </x:c>
      <x:c r="W12" s="4"/>
    </x:row>
    <x:row r="13" spans="1:23">
      <x:c r="A13" s="3">
        <x:v>10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3" t="str">
        <x:f>IF(AND(L13="완료",N13="완료",O13="완료",P13="완료",Q13="완료"),"완료","확인필요")</x:f>
        <x:v>확인필요</x:v>
      </x:c>
      <x:c r="S13" s="3" t="str">
        <x:f>IF(E13&lt;&gt;"",ROUNDUP(A13/4,0),"")</x:f>
        <x:v/>
      </x:c>
      <x:c r="T13" s="3" t="str">
        <x:f>IF(S13="","",IF(S13&lt;=26,"1부","2부"))</x:f>
        <x:v/>
      </x:c>
      <x:c r="U13" s="3" t="str">
        <x:f>IF(S13="","",INDEX('2_1일차조편성'!$E$4:$E$56,S13))</x:f>
        <x:v/>
      </x:c>
      <x:c r="V13" s="3" t="str">
        <x:f>IFERROR(IF(VLOOKUP(A13,'4_스코어입력'!$A$4:$K$213,11,FALSE)&lt;=104,"진출",""),"")</x:f>
        <x:v/>
      </x:c>
      <x:c r="W13" s="4"/>
    </x:row>
    <x:row r="14" spans="1:23">
      <x:c r="A14" s="3">
        <x:v>11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3" t="str">
        <x:f>IF(AND(L14="완료",N14="완료",O14="완료",P14="완료",Q14="완료"),"완료","확인필요")</x:f>
        <x:v>확인필요</x:v>
      </x:c>
      <x:c r="S14" s="3" t="str">
        <x:f>IF(E14&lt;&gt;"",ROUNDUP(A14/4,0),"")</x:f>
        <x:v/>
      </x:c>
      <x:c r="T14" s="3" t="str">
        <x:f>IF(S14="","",IF(S14&lt;=26,"1부","2부"))</x:f>
        <x:v/>
      </x:c>
      <x:c r="U14" s="3" t="str">
        <x:f>IF(S14="","",INDEX('2_1일차조편성'!$E$4:$E$56,S14))</x:f>
        <x:v/>
      </x:c>
      <x:c r="V14" s="3" t="str">
        <x:f>IFERROR(IF(VLOOKUP(A14,'4_스코어입력'!$A$4:$K$213,11,FALSE)&lt;=104,"진출",""),"")</x:f>
        <x:v/>
      </x:c>
      <x:c r="W14" s="4"/>
    </x:row>
    <x:row r="15" spans="1:23">
      <x:c r="A15" s="3">
        <x:v>12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3" t="str">
        <x:f>IF(AND(L15="완료",N15="완료",O15="완료",P15="완료",Q15="완료"),"완료","확인필요")</x:f>
        <x:v>확인필요</x:v>
      </x:c>
      <x:c r="S15" s="3" t="str">
        <x:f>IF(E15&lt;&gt;"",ROUNDUP(A15/4,0),"")</x:f>
        <x:v/>
      </x:c>
      <x:c r="T15" s="3" t="str">
        <x:f>IF(S15="","",IF(S15&lt;=26,"1부","2부"))</x:f>
        <x:v/>
      </x:c>
      <x:c r="U15" s="3" t="str">
        <x:f>IF(S15="","",INDEX('2_1일차조편성'!$E$4:$E$56,S15))</x:f>
        <x:v/>
      </x:c>
      <x:c r="V15" s="3" t="str">
        <x:f>IFERROR(IF(VLOOKUP(A15,'4_스코어입력'!$A$4:$K$213,11,FALSE)&lt;=104,"진출",""),"")</x:f>
        <x:v/>
      </x:c>
      <x:c r="W15" s="4"/>
    </x:row>
    <x:row r="16" spans="1:23">
      <x:c r="A16" s="3">
        <x:v>13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3" t="str">
        <x:f>IF(AND(L16="완료",N16="완료",O16="완료",P16="완료",Q16="완료"),"완료","확인필요")</x:f>
        <x:v>확인필요</x:v>
      </x:c>
      <x:c r="S16" s="3" t="str">
        <x:f>IF(E16&lt;&gt;"",ROUNDUP(A16/4,0),"")</x:f>
        <x:v/>
      </x:c>
      <x:c r="T16" s="3" t="str">
        <x:f>IF(S16="","",IF(S16&lt;=26,"1부","2부"))</x:f>
        <x:v/>
      </x:c>
      <x:c r="U16" s="3" t="str">
        <x:f>IF(S16="","",INDEX('2_1일차조편성'!$E$4:$E$56,S16))</x:f>
        <x:v/>
      </x:c>
      <x:c r="V16" s="3" t="str">
        <x:f>IFERROR(IF(VLOOKUP(A16,'4_스코어입력'!$A$4:$K$213,11,FALSE)&lt;=104,"진출",""),"")</x:f>
        <x:v/>
      </x:c>
      <x:c r="W16" s="4"/>
    </x:row>
    <x:row r="17" spans="1:23">
      <x:c r="A17" s="3">
        <x:v>14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3" t="str">
        <x:f>IF(AND(L17="완료",N17="완료",O17="완료",P17="완료",Q17="완료"),"완료","확인필요")</x:f>
        <x:v>확인필요</x:v>
      </x:c>
      <x:c r="S17" s="3" t="str">
        <x:f>IF(E17&lt;&gt;"",ROUNDUP(A17/4,0),"")</x:f>
        <x:v/>
      </x:c>
      <x:c r="T17" s="3" t="str">
        <x:f>IF(S17="","",IF(S17&lt;=26,"1부","2부"))</x:f>
        <x:v/>
      </x:c>
      <x:c r="U17" s="3" t="str">
        <x:f>IF(S17="","",INDEX('2_1일차조편성'!$E$4:$E$56,S17))</x:f>
        <x:v/>
      </x:c>
      <x:c r="V17" s="3" t="str">
        <x:f>IFERROR(IF(VLOOKUP(A17,'4_스코어입력'!$A$4:$K$213,11,FALSE)&lt;=104,"진출",""),"")</x:f>
        <x:v/>
      </x:c>
      <x:c r="W17" s="4"/>
    </x:row>
    <x:row r="18" spans="1:23">
      <x:c r="A18" s="3">
        <x:v>15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3" t="str">
        <x:f>IF(AND(L18="완료",N18="완료",O18="완료",P18="완료",Q18="완료"),"완료","확인필요")</x:f>
        <x:v>확인필요</x:v>
      </x:c>
      <x:c r="S18" s="3" t="str">
        <x:f>IF(E18&lt;&gt;"",ROUNDUP(A18/4,0),"")</x:f>
        <x:v/>
      </x:c>
      <x:c r="T18" s="3" t="str">
        <x:f>IF(S18="","",IF(S18&lt;=26,"1부","2부"))</x:f>
        <x:v/>
      </x:c>
      <x:c r="U18" s="3" t="str">
        <x:f>IF(S18="","",INDEX('2_1일차조편성'!$E$4:$E$56,S18))</x:f>
        <x:v/>
      </x:c>
      <x:c r="V18" s="3" t="str">
        <x:f>IFERROR(IF(VLOOKUP(A18,'4_스코어입력'!$A$4:$K$213,11,FALSE)&lt;=104,"진출",""),"")</x:f>
        <x:v/>
      </x:c>
      <x:c r="W18" s="4"/>
    </x:row>
    <x:row r="19" spans="1:23">
      <x:c r="A19" s="3">
        <x:v>16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3" t="str">
        <x:f>IF(AND(L19="완료",N19="완료",O19="완료",P19="완료",Q19="완료"),"완료","확인필요")</x:f>
        <x:v>확인필요</x:v>
      </x:c>
      <x:c r="S19" s="3" t="str">
        <x:f>IF(E19&lt;&gt;"",ROUNDUP(A19/4,0),"")</x:f>
        <x:v/>
      </x:c>
      <x:c r="T19" s="3" t="str">
        <x:f>IF(S19="","",IF(S19&lt;=26,"1부","2부"))</x:f>
        <x:v/>
      </x:c>
      <x:c r="U19" s="3" t="str">
        <x:f>IF(S19="","",INDEX('2_1일차조편성'!$E$4:$E$56,S19))</x:f>
        <x:v/>
      </x:c>
      <x:c r="V19" s="3" t="str">
        <x:f>IFERROR(IF(VLOOKUP(A19,'4_스코어입력'!$A$4:$K$213,11,FALSE)&lt;=104,"진출",""),"")</x:f>
        <x:v/>
      </x:c>
      <x:c r="W19" s="4"/>
    </x:row>
    <x:row r="20" spans="1:23">
      <x:c r="A20" s="3">
        <x:v>17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3" t="str">
        <x:f>IF(AND(L20="완료",N20="완료",O20="완료",P20="완료",Q20="완료"),"완료","확인필요")</x:f>
        <x:v>확인필요</x:v>
      </x:c>
      <x:c r="S20" s="3" t="str">
        <x:f>IF(E20&lt;&gt;"",ROUNDUP(A20/4,0),"")</x:f>
        <x:v/>
      </x:c>
      <x:c r="T20" s="3" t="str">
        <x:f>IF(S20="","",IF(S20&lt;=26,"1부","2부"))</x:f>
        <x:v/>
      </x:c>
      <x:c r="U20" s="3" t="str">
        <x:f>IF(S20="","",INDEX('2_1일차조편성'!$E$4:$E$56,S20))</x:f>
        <x:v/>
      </x:c>
      <x:c r="V20" s="3" t="str">
        <x:f>IFERROR(IF(VLOOKUP(A20,'4_스코어입력'!$A$4:$K$213,11,FALSE)&lt;=104,"진출",""),"")</x:f>
        <x:v/>
      </x:c>
      <x:c r="W20" s="4"/>
    </x:row>
    <x:row r="21" spans="1:23">
      <x:c r="A21" s="3">
        <x:v>18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3" t="str">
        <x:f>IF(AND(L21="완료",N21="완료",O21="완료",P21="완료",Q21="완료"),"완료","확인필요")</x:f>
        <x:v>확인필요</x:v>
      </x:c>
      <x:c r="S21" s="3" t="str">
        <x:f>IF(E21&lt;&gt;"",ROUNDUP(A21/4,0),"")</x:f>
        <x:v/>
      </x:c>
      <x:c r="T21" s="3" t="str">
        <x:f>IF(S21="","",IF(S21&lt;=26,"1부","2부"))</x:f>
        <x:v/>
      </x:c>
      <x:c r="U21" s="3" t="str">
        <x:f>IF(S21="","",INDEX('2_1일차조편성'!$E$4:$E$56,S21))</x:f>
        <x:v/>
      </x:c>
      <x:c r="V21" s="3" t="str">
        <x:f>IFERROR(IF(VLOOKUP(A21,'4_스코어입력'!$A$4:$K$213,11,FALSE)&lt;=104,"진출",""),"")</x:f>
        <x:v/>
      </x:c>
      <x:c r="W21" s="4"/>
    </x:row>
    <x:row r="22" spans="1:23">
      <x:c r="A22" s="3">
        <x:v>19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3" t="str">
        <x:f>IF(AND(L22="완료",N22="완료",O22="완료",P22="완료",Q22="완료"),"완료","확인필요")</x:f>
        <x:v>확인필요</x:v>
      </x:c>
      <x:c r="S22" s="3" t="str">
        <x:f>IF(E22&lt;&gt;"",ROUNDUP(A22/4,0),"")</x:f>
        <x:v/>
      </x:c>
      <x:c r="T22" s="3" t="str">
        <x:f>IF(S22="","",IF(S22&lt;=26,"1부","2부"))</x:f>
        <x:v/>
      </x:c>
      <x:c r="U22" s="3" t="str">
        <x:f>IF(S22="","",INDEX('2_1일차조편성'!$E$4:$E$56,S22))</x:f>
        <x:v/>
      </x:c>
      <x:c r="V22" s="3" t="str">
        <x:f>IFERROR(IF(VLOOKUP(A22,'4_스코어입력'!$A$4:$K$213,11,FALSE)&lt;=104,"진출",""),"")</x:f>
        <x:v/>
      </x:c>
      <x:c r="W22" s="4"/>
    </x:row>
    <x:row r="23" spans="1:23">
      <x:c r="A23" s="3">
        <x:v>20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3" t="str">
        <x:f>IF(AND(L23="완료",N23="완료",O23="완료",P23="완료",Q23="완료"),"완료","확인필요")</x:f>
        <x:v>확인필요</x:v>
      </x:c>
      <x:c r="S23" s="3" t="str">
        <x:f>IF(E23&lt;&gt;"",ROUNDUP(A23/4,0),"")</x:f>
        <x:v/>
      </x:c>
      <x:c r="T23" s="3" t="str">
        <x:f>IF(S23="","",IF(S23&lt;=26,"1부","2부"))</x:f>
        <x:v/>
      </x:c>
      <x:c r="U23" s="3" t="str">
        <x:f>IF(S23="","",INDEX('2_1일차조편성'!$E$4:$E$56,S23))</x:f>
        <x:v/>
      </x:c>
      <x:c r="V23" s="3" t="str">
        <x:f>IFERROR(IF(VLOOKUP(A23,'4_스코어입력'!$A$4:$K$213,11,FALSE)&lt;=104,"진출",""),"")</x:f>
        <x:v/>
      </x:c>
      <x:c r="W23" s="4"/>
    </x:row>
    <x:row r="24" spans="1:23">
      <x:c r="A24" s="3">
        <x:v>21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3" t="str">
        <x:f>IF(AND(L24="완료",N24="완료",O24="완료",P24="완료",Q24="완료"),"완료","확인필요")</x:f>
        <x:v>확인필요</x:v>
      </x:c>
      <x:c r="S24" s="3" t="str">
        <x:f>IF(E24&lt;&gt;"",ROUNDUP(A24/4,0),"")</x:f>
        <x:v/>
      </x:c>
      <x:c r="T24" s="3" t="str">
        <x:f>IF(S24="","",IF(S24&lt;=26,"1부","2부"))</x:f>
        <x:v/>
      </x:c>
      <x:c r="U24" s="3" t="str">
        <x:f>IF(S24="","",INDEX('2_1일차조편성'!$E$4:$E$56,S24))</x:f>
        <x:v/>
      </x:c>
      <x:c r="V24" s="3" t="str">
        <x:f>IFERROR(IF(VLOOKUP(A24,'4_스코어입력'!$A$4:$K$213,11,FALSE)&lt;=104,"진출",""),"")</x:f>
        <x:v/>
      </x:c>
      <x:c r="W24" s="4"/>
    </x:row>
    <x:row r="25" spans="1:23">
      <x:c r="A25" s="3">
        <x:v>22</x:v>
      </x:c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3" t="str">
        <x:f>IF(AND(L25="완료",N25="완료",O25="완료",P25="완료",Q25="완료"),"완료","확인필요")</x:f>
        <x:v>확인필요</x:v>
      </x:c>
      <x:c r="S25" s="3" t="str">
        <x:f>IF(E25&lt;&gt;"",ROUNDUP(A25/4,0),"")</x:f>
        <x:v/>
      </x:c>
      <x:c r="T25" s="3" t="str">
        <x:f>IF(S25="","",IF(S25&lt;=26,"1부","2부"))</x:f>
        <x:v/>
      </x:c>
      <x:c r="U25" s="3" t="str">
        <x:f>IF(S25="","",INDEX('2_1일차조편성'!$E$4:$E$56,S25))</x:f>
        <x:v/>
      </x:c>
      <x:c r="V25" s="3" t="str">
        <x:f>IFERROR(IF(VLOOKUP(A25,'4_스코어입력'!$A$4:$K$213,11,FALSE)&lt;=104,"진출",""),"")</x:f>
        <x:v/>
      </x:c>
      <x:c r="W25" s="4"/>
    </x:row>
    <x:row r="26" spans="1:23">
      <x:c r="A26" s="3">
        <x:v>23</x:v>
      </x:c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3" t="str">
        <x:f>IF(AND(L26="완료",N26="완료",O26="완료",P26="완료",Q26="완료"),"완료","확인필요")</x:f>
        <x:v>확인필요</x:v>
      </x:c>
      <x:c r="S26" s="3" t="str">
        <x:f>IF(E26&lt;&gt;"",ROUNDUP(A26/4,0),"")</x:f>
        <x:v/>
      </x:c>
      <x:c r="T26" s="3" t="str">
        <x:f>IF(S26="","",IF(S26&lt;=26,"1부","2부"))</x:f>
        <x:v/>
      </x:c>
      <x:c r="U26" s="3" t="str">
        <x:f>IF(S26="","",INDEX('2_1일차조편성'!$E$4:$E$56,S26))</x:f>
        <x:v/>
      </x:c>
      <x:c r="V26" s="3" t="str">
        <x:f>IFERROR(IF(VLOOKUP(A26,'4_스코어입력'!$A$4:$K$213,11,FALSE)&lt;=104,"진출",""),"")</x:f>
        <x:v/>
      </x:c>
      <x:c r="W26" s="4"/>
    </x:row>
    <x:row r="27" spans="1:23">
      <x:c r="A27" s="3">
        <x:v>24</x:v>
      </x:c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3" t="str">
        <x:f>IF(AND(L27="완료",N27="완료",O27="완료",P27="완료",Q27="완료"),"완료","확인필요")</x:f>
        <x:v>확인필요</x:v>
      </x:c>
      <x:c r="S27" s="3" t="str">
        <x:f>IF(E27&lt;&gt;"",ROUNDUP(A27/4,0),"")</x:f>
        <x:v/>
      </x:c>
      <x:c r="T27" s="3" t="str">
        <x:f>IF(S27="","",IF(S27&lt;=26,"1부","2부"))</x:f>
        <x:v/>
      </x:c>
      <x:c r="U27" s="3" t="str">
        <x:f>IF(S27="","",INDEX('2_1일차조편성'!$E$4:$E$56,S27))</x:f>
        <x:v/>
      </x:c>
      <x:c r="V27" s="3" t="str">
        <x:f>IFERROR(IF(VLOOKUP(A27,'4_스코어입력'!$A$4:$K$213,11,FALSE)&lt;=104,"진출",""),"")</x:f>
        <x:v/>
      </x:c>
      <x:c r="W27" s="4"/>
    </x:row>
    <x:row r="28" spans="1:23">
      <x:c r="A28" s="3">
        <x:v>25</x:v>
      </x:c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3" t="str">
        <x:f>IF(AND(L28="완료",N28="완료",O28="완료",P28="완료",Q28="완료"),"완료","확인필요")</x:f>
        <x:v>확인필요</x:v>
      </x:c>
      <x:c r="S28" s="3" t="str">
        <x:f>IF(E28&lt;&gt;"",ROUNDUP(A28/4,0),"")</x:f>
        <x:v/>
      </x:c>
      <x:c r="T28" s="3" t="str">
        <x:f>IF(S28="","",IF(S28&lt;=26,"1부","2부"))</x:f>
        <x:v/>
      </x:c>
      <x:c r="U28" s="3" t="str">
        <x:f>IF(S28="","",INDEX('2_1일차조편성'!$E$4:$E$56,S28))</x:f>
        <x:v/>
      </x:c>
      <x:c r="V28" s="3" t="str">
        <x:f>IFERROR(IF(VLOOKUP(A28,'4_스코어입력'!$A$4:$K$213,11,FALSE)&lt;=104,"진출",""),"")</x:f>
        <x:v/>
      </x:c>
      <x:c r="W28" s="4"/>
    </x:row>
    <x:row r="29" spans="1:23">
      <x:c r="A29" s="3">
        <x:v>26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3" t="str">
        <x:f>IF(AND(L29="완료",N29="완료",O29="완료",P29="완료",Q29="완료"),"완료","확인필요")</x:f>
        <x:v>확인필요</x:v>
      </x:c>
      <x:c r="S29" s="3" t="str">
        <x:f>IF(E29&lt;&gt;"",ROUNDUP(A29/4,0),"")</x:f>
        <x:v/>
      </x:c>
      <x:c r="T29" s="3" t="str">
        <x:f>IF(S29="","",IF(S29&lt;=26,"1부","2부"))</x:f>
        <x:v/>
      </x:c>
      <x:c r="U29" s="3" t="str">
        <x:f>IF(S29="","",INDEX('2_1일차조편성'!$E$4:$E$56,S29))</x:f>
        <x:v/>
      </x:c>
      <x:c r="V29" s="3" t="str">
        <x:f>IFERROR(IF(VLOOKUP(A29,'4_스코어입력'!$A$4:$K$213,11,FALSE)&lt;=104,"진출",""),"")</x:f>
        <x:v/>
      </x:c>
      <x:c r="W29" s="4"/>
    </x:row>
    <x:row r="30" spans="1:23">
      <x:c r="A30" s="3">
        <x:v>27</x:v>
      </x:c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3" t="str">
        <x:f>IF(AND(L30="완료",N30="완료",O30="완료",P30="완료",Q30="완료"),"완료","확인필요")</x:f>
        <x:v>확인필요</x:v>
      </x:c>
      <x:c r="S30" s="3" t="str">
        <x:f>IF(E30&lt;&gt;"",ROUNDUP(A30/4,0),"")</x:f>
        <x:v/>
      </x:c>
      <x:c r="T30" s="3" t="str">
        <x:f>IF(S30="","",IF(S30&lt;=26,"1부","2부"))</x:f>
        <x:v/>
      </x:c>
      <x:c r="U30" s="3" t="str">
        <x:f>IF(S30="","",INDEX('2_1일차조편성'!$E$4:$E$56,S30))</x:f>
        <x:v/>
      </x:c>
      <x:c r="V30" s="3" t="str">
        <x:f>IFERROR(IF(VLOOKUP(A30,'4_스코어입력'!$A$4:$K$213,11,FALSE)&lt;=104,"진출",""),"")</x:f>
        <x:v/>
      </x:c>
      <x:c r="W30" s="4"/>
    </x:row>
    <x:row r="31" spans="1:23">
      <x:c r="A31" s="3">
        <x:v>28</x:v>
      </x:c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3" t="str">
        <x:f>IF(AND(L31="완료",N31="완료",O31="완료",P31="완료",Q31="완료"),"완료","확인필요")</x:f>
        <x:v>확인필요</x:v>
      </x:c>
      <x:c r="S31" s="3" t="str">
        <x:f>IF(E31&lt;&gt;"",ROUNDUP(A31/4,0),"")</x:f>
        <x:v/>
      </x:c>
      <x:c r="T31" s="3" t="str">
        <x:f>IF(S31="","",IF(S31&lt;=26,"1부","2부"))</x:f>
        <x:v/>
      </x:c>
      <x:c r="U31" s="3" t="str">
        <x:f>IF(S31="","",INDEX('2_1일차조편성'!$E$4:$E$56,S31))</x:f>
        <x:v/>
      </x:c>
      <x:c r="V31" s="3" t="str">
        <x:f>IFERROR(IF(VLOOKUP(A31,'4_스코어입력'!$A$4:$K$213,11,FALSE)&lt;=104,"진출",""),"")</x:f>
        <x:v/>
      </x:c>
      <x:c r="W31" s="4"/>
    </x:row>
    <x:row r="32" spans="1:23">
      <x:c r="A32" s="3">
        <x:v>29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3" t="str">
        <x:f>IF(AND(L32="완료",N32="완료",O32="완료",P32="완료",Q32="완료"),"완료","확인필요")</x:f>
        <x:v>확인필요</x:v>
      </x:c>
      <x:c r="S32" s="3" t="str">
        <x:f>IF(E32&lt;&gt;"",ROUNDUP(A32/4,0),"")</x:f>
        <x:v/>
      </x:c>
      <x:c r="T32" s="3" t="str">
        <x:f>IF(S32="","",IF(S32&lt;=26,"1부","2부"))</x:f>
        <x:v/>
      </x:c>
      <x:c r="U32" s="3" t="str">
        <x:f>IF(S32="","",INDEX('2_1일차조편성'!$E$4:$E$56,S32))</x:f>
        <x:v/>
      </x:c>
      <x:c r="V32" s="3" t="str">
        <x:f>IFERROR(IF(VLOOKUP(A32,'4_스코어입력'!$A$4:$K$213,11,FALSE)&lt;=104,"진출",""),"")</x:f>
        <x:v/>
      </x:c>
      <x:c r="W32" s="4"/>
    </x:row>
    <x:row r="33" spans="1:23">
      <x:c r="A33" s="3">
        <x:v>30</x:v>
      </x:c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3" t="str">
        <x:f>IF(AND(L33="완료",N33="완료",O33="완료",P33="완료",Q33="완료"),"완료","확인필요")</x:f>
        <x:v>확인필요</x:v>
      </x:c>
      <x:c r="S33" s="3" t="str">
        <x:f>IF(E33&lt;&gt;"",ROUNDUP(A33/4,0),"")</x:f>
        <x:v/>
      </x:c>
      <x:c r="T33" s="3" t="str">
        <x:f>IF(S33="","",IF(S33&lt;=26,"1부","2부"))</x:f>
        <x:v/>
      </x:c>
      <x:c r="U33" s="3" t="str">
        <x:f>IF(S33="","",INDEX('2_1일차조편성'!$E$4:$E$56,S33))</x:f>
        <x:v/>
      </x:c>
      <x:c r="V33" s="3" t="str">
        <x:f>IFERROR(IF(VLOOKUP(A33,'4_스코어입력'!$A$4:$K$213,11,FALSE)&lt;=104,"진출",""),"")</x:f>
        <x:v/>
      </x:c>
      <x:c r="W33" s="4"/>
    </x:row>
    <x:row r="34" spans="1:23">
      <x:c r="A34" s="3">
        <x:v>31</x:v>
      </x:c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3" t="str">
        <x:f>IF(AND(L34="완료",N34="완료",O34="완료",P34="완료",Q34="완료"),"완료","확인필요")</x:f>
        <x:v>확인필요</x:v>
      </x:c>
      <x:c r="S34" s="3" t="str">
        <x:f>IF(E34&lt;&gt;"",ROUNDUP(A34/4,0),"")</x:f>
        <x:v/>
      </x:c>
      <x:c r="T34" s="3" t="str">
        <x:f>IF(S34="","",IF(S34&lt;=26,"1부","2부"))</x:f>
        <x:v/>
      </x:c>
      <x:c r="U34" s="3" t="str">
        <x:f>IF(S34="","",INDEX('2_1일차조편성'!$E$4:$E$56,S34))</x:f>
        <x:v/>
      </x:c>
      <x:c r="V34" s="3" t="str">
        <x:f>IFERROR(IF(VLOOKUP(A34,'4_스코어입력'!$A$4:$K$213,11,FALSE)&lt;=104,"진출",""),"")</x:f>
        <x:v/>
      </x:c>
      <x:c r="W34" s="4"/>
    </x:row>
    <x:row r="35" spans="1:23">
      <x:c r="A35" s="3">
        <x:v>32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3" t="str">
        <x:f>IF(AND(L35="완료",N35="완료",O35="완료",P35="완료",Q35="완료"),"완료","확인필요")</x:f>
        <x:v>확인필요</x:v>
      </x:c>
      <x:c r="S35" s="3" t="str">
        <x:f>IF(E35&lt;&gt;"",ROUNDUP(A35/4,0),"")</x:f>
        <x:v/>
      </x:c>
      <x:c r="T35" s="3" t="str">
        <x:f>IF(S35="","",IF(S35&lt;=26,"1부","2부"))</x:f>
        <x:v/>
      </x:c>
      <x:c r="U35" s="3" t="str">
        <x:f>IF(S35="","",INDEX('2_1일차조편성'!$E$4:$E$56,S35))</x:f>
        <x:v/>
      </x:c>
      <x:c r="V35" s="3" t="str">
        <x:f>IFERROR(IF(VLOOKUP(A35,'4_스코어입력'!$A$4:$K$213,11,FALSE)&lt;=104,"진출",""),"")</x:f>
        <x:v/>
      </x:c>
      <x:c r="W35" s="4"/>
    </x:row>
    <x:row r="36" spans="1:23">
      <x:c r="A36" s="3">
        <x:v>33</x:v>
      </x:c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3" t="str">
        <x:f>IF(AND(L36="완료",N36="완료",O36="완료",P36="완료",Q36="완료"),"완료","확인필요")</x:f>
        <x:v>확인필요</x:v>
      </x:c>
      <x:c r="S36" s="3" t="str">
        <x:f>IF(E36&lt;&gt;"",ROUNDUP(A36/4,0),"")</x:f>
        <x:v/>
      </x:c>
      <x:c r="T36" s="3" t="str">
        <x:f>IF(S36="","",IF(S36&lt;=26,"1부","2부"))</x:f>
        <x:v/>
      </x:c>
      <x:c r="U36" s="3" t="str">
        <x:f>IF(S36="","",INDEX('2_1일차조편성'!$E$4:$E$56,S36))</x:f>
        <x:v/>
      </x:c>
      <x:c r="V36" s="3" t="str">
        <x:f>IFERROR(IF(VLOOKUP(A36,'4_스코어입력'!$A$4:$K$213,11,FALSE)&lt;=104,"진출",""),"")</x:f>
        <x:v/>
      </x:c>
      <x:c r="W36" s="4"/>
    </x:row>
    <x:row r="37" spans="1:23">
      <x:c r="A37" s="3">
        <x:v>34</x:v>
      </x:c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3" t="str">
        <x:f>IF(AND(L37="완료",N37="완료",O37="완료",P37="완료",Q37="완료"),"완료","확인필요")</x:f>
        <x:v>확인필요</x:v>
      </x:c>
      <x:c r="S37" s="3" t="str">
        <x:f>IF(E37&lt;&gt;"",ROUNDUP(A37/4,0),"")</x:f>
        <x:v/>
      </x:c>
      <x:c r="T37" s="3" t="str">
        <x:f>IF(S37="","",IF(S37&lt;=26,"1부","2부"))</x:f>
        <x:v/>
      </x:c>
      <x:c r="U37" s="3" t="str">
        <x:f>IF(S37="","",INDEX('2_1일차조편성'!$E$4:$E$56,S37))</x:f>
        <x:v/>
      </x:c>
      <x:c r="V37" s="3" t="str">
        <x:f>IFERROR(IF(VLOOKUP(A37,'4_스코어입력'!$A$4:$K$213,11,FALSE)&lt;=104,"진출",""),"")</x:f>
        <x:v/>
      </x:c>
      <x:c r="W37" s="4"/>
    </x:row>
    <x:row r="38" spans="1:23">
      <x:c r="A38" s="3">
        <x:v>35</x:v>
      </x:c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3" t="str">
        <x:f>IF(AND(L38="완료",N38="완료",O38="완료",P38="완료",Q38="완료"),"완료","확인필요")</x:f>
        <x:v>확인필요</x:v>
      </x:c>
      <x:c r="S38" s="3" t="str">
        <x:f>IF(E38&lt;&gt;"",ROUNDUP(A38/4,0),"")</x:f>
        <x:v/>
      </x:c>
      <x:c r="T38" s="3" t="str">
        <x:f>IF(S38="","",IF(S38&lt;=26,"1부","2부"))</x:f>
        <x:v/>
      </x:c>
      <x:c r="U38" s="3" t="str">
        <x:f>IF(S38="","",INDEX('2_1일차조편성'!$E$4:$E$56,S38))</x:f>
        <x:v/>
      </x:c>
      <x:c r="V38" s="3" t="str">
        <x:f>IFERROR(IF(VLOOKUP(A38,'4_스코어입력'!$A$4:$K$213,11,FALSE)&lt;=104,"진출",""),"")</x:f>
        <x:v/>
      </x:c>
      <x:c r="W38" s="4"/>
    </x:row>
    <x:row r="39" spans="1:23">
      <x:c r="A39" s="3">
        <x:v>36</x:v>
      </x:c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3" t="str">
        <x:f>IF(AND(L39="완료",N39="완료",O39="완료",P39="완료",Q39="완료"),"완료","확인필요")</x:f>
        <x:v>확인필요</x:v>
      </x:c>
      <x:c r="S39" s="3" t="str">
        <x:f>IF(E39&lt;&gt;"",ROUNDUP(A39/4,0),"")</x:f>
        <x:v/>
      </x:c>
      <x:c r="T39" s="3" t="str">
        <x:f>IF(S39="","",IF(S39&lt;=26,"1부","2부"))</x:f>
        <x:v/>
      </x:c>
      <x:c r="U39" s="3" t="str">
        <x:f>IF(S39="","",INDEX('2_1일차조편성'!$E$4:$E$56,S39))</x:f>
        <x:v/>
      </x:c>
      <x:c r="V39" s="3" t="str">
        <x:f>IFERROR(IF(VLOOKUP(A39,'4_스코어입력'!$A$4:$K$213,11,FALSE)&lt;=104,"진출",""),"")</x:f>
        <x:v/>
      </x:c>
      <x:c r="W39" s="4"/>
    </x:row>
    <x:row r="40" spans="1:23">
      <x:c r="A40" s="3">
        <x:v>37</x:v>
      </x:c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3" t="str">
        <x:f>IF(AND(L40="완료",N40="완료",O40="완료",P40="완료",Q40="완료"),"완료","확인필요")</x:f>
        <x:v>확인필요</x:v>
      </x:c>
      <x:c r="S40" s="3" t="str">
        <x:f>IF(E40&lt;&gt;"",ROUNDUP(A40/4,0),"")</x:f>
        <x:v/>
      </x:c>
      <x:c r="T40" s="3" t="str">
        <x:f>IF(S40="","",IF(S40&lt;=26,"1부","2부"))</x:f>
        <x:v/>
      </x:c>
      <x:c r="U40" s="3" t="str">
        <x:f>IF(S40="","",INDEX('2_1일차조편성'!$E$4:$E$56,S40))</x:f>
        <x:v/>
      </x:c>
      <x:c r="V40" s="3" t="str">
        <x:f>IFERROR(IF(VLOOKUP(A40,'4_스코어입력'!$A$4:$K$213,11,FALSE)&lt;=104,"진출",""),"")</x:f>
        <x:v/>
      </x:c>
      <x:c r="W40" s="4"/>
    </x:row>
    <x:row r="41" spans="1:23">
      <x:c r="A41" s="3">
        <x:v>38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3" t="str">
        <x:f>IF(AND(L41="완료",N41="완료",O41="완료",P41="완료",Q41="완료"),"완료","확인필요")</x:f>
        <x:v>확인필요</x:v>
      </x:c>
      <x:c r="S41" s="3" t="str">
        <x:f>IF(E41&lt;&gt;"",ROUNDUP(A41/4,0),"")</x:f>
        <x:v/>
      </x:c>
      <x:c r="T41" s="3" t="str">
        <x:f>IF(S41="","",IF(S41&lt;=26,"1부","2부"))</x:f>
        <x:v/>
      </x:c>
      <x:c r="U41" s="3" t="str">
        <x:f>IF(S41="","",INDEX('2_1일차조편성'!$E$4:$E$56,S41))</x:f>
        <x:v/>
      </x:c>
      <x:c r="V41" s="3" t="str">
        <x:f>IFERROR(IF(VLOOKUP(A41,'4_스코어입력'!$A$4:$K$213,11,FALSE)&lt;=104,"진출",""),"")</x:f>
        <x:v/>
      </x:c>
      <x:c r="W41" s="4"/>
    </x:row>
    <x:row r="42" spans="1:23">
      <x:c r="A42" s="3">
        <x:v>39</x:v>
      </x:c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3" t="str">
        <x:f>IF(AND(L42="완료",N42="완료",O42="완료",P42="완료",Q42="완료"),"완료","확인필요")</x:f>
        <x:v>확인필요</x:v>
      </x:c>
      <x:c r="S42" s="3" t="str">
        <x:f>IF(E42&lt;&gt;"",ROUNDUP(A42/4,0),"")</x:f>
        <x:v/>
      </x:c>
      <x:c r="T42" s="3" t="str">
        <x:f>IF(S42="","",IF(S42&lt;=26,"1부","2부"))</x:f>
        <x:v/>
      </x:c>
      <x:c r="U42" s="3" t="str">
        <x:f>IF(S42="","",INDEX('2_1일차조편성'!$E$4:$E$56,S42))</x:f>
        <x:v/>
      </x:c>
      <x:c r="V42" s="3" t="str">
        <x:f>IFERROR(IF(VLOOKUP(A42,'4_스코어입력'!$A$4:$K$213,11,FALSE)&lt;=104,"진출",""),"")</x:f>
        <x:v/>
      </x:c>
      <x:c r="W42" s="4"/>
    </x:row>
    <x:row r="43" spans="1:23">
      <x:c r="A43" s="3">
        <x:v>40</x:v>
      </x:c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3" t="str">
        <x:f>IF(AND(L43="완료",N43="완료",O43="완료",P43="완료",Q43="완료"),"완료","확인필요")</x:f>
        <x:v>확인필요</x:v>
      </x:c>
      <x:c r="S43" s="3" t="str">
        <x:f>IF(E43&lt;&gt;"",ROUNDUP(A43/4,0),"")</x:f>
        <x:v/>
      </x:c>
      <x:c r="T43" s="3" t="str">
        <x:f>IF(S43="","",IF(S43&lt;=26,"1부","2부"))</x:f>
        <x:v/>
      </x:c>
      <x:c r="U43" s="3" t="str">
        <x:f>IF(S43="","",INDEX('2_1일차조편성'!$E$4:$E$56,S43))</x:f>
        <x:v/>
      </x:c>
      <x:c r="V43" s="3" t="str">
        <x:f>IFERROR(IF(VLOOKUP(A43,'4_스코어입력'!$A$4:$K$213,11,FALSE)&lt;=104,"진출",""),"")</x:f>
        <x:v/>
      </x:c>
      <x:c r="W43" s="4"/>
    </x:row>
    <x:row r="44" spans="1:23">
      <x:c r="A44" s="3">
        <x:v>41</x:v>
      </x:c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3" t="str">
        <x:f>IF(AND(L44="완료",N44="완료",O44="완료",P44="완료",Q44="완료"),"완료","확인필요")</x:f>
        <x:v>확인필요</x:v>
      </x:c>
      <x:c r="S44" s="3" t="str">
        <x:f>IF(E44&lt;&gt;"",ROUNDUP(A44/4,0),"")</x:f>
        <x:v/>
      </x:c>
      <x:c r="T44" s="3" t="str">
        <x:f>IF(S44="","",IF(S44&lt;=26,"1부","2부"))</x:f>
        <x:v/>
      </x:c>
      <x:c r="U44" s="3" t="str">
        <x:f>IF(S44="","",INDEX('2_1일차조편성'!$E$4:$E$56,S44))</x:f>
        <x:v/>
      </x:c>
      <x:c r="V44" s="3" t="str">
        <x:f>IFERROR(IF(VLOOKUP(A44,'4_스코어입력'!$A$4:$K$213,11,FALSE)&lt;=104,"진출",""),"")</x:f>
        <x:v/>
      </x:c>
      <x:c r="W44" s="4"/>
    </x:row>
    <x:row r="45" spans="1:23">
      <x:c r="A45" s="3">
        <x:v>42</x:v>
      </x:c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3" t="str">
        <x:f>IF(AND(L45="완료",N45="완료",O45="완료",P45="완료",Q45="완료"),"완료","확인필요")</x:f>
        <x:v>확인필요</x:v>
      </x:c>
      <x:c r="S45" s="3" t="str">
        <x:f>IF(E45&lt;&gt;"",ROUNDUP(A45/4,0),"")</x:f>
        <x:v/>
      </x:c>
      <x:c r="T45" s="3" t="str">
        <x:f>IF(S45="","",IF(S45&lt;=26,"1부","2부"))</x:f>
        <x:v/>
      </x:c>
      <x:c r="U45" s="3" t="str">
        <x:f>IF(S45="","",INDEX('2_1일차조편성'!$E$4:$E$56,S45))</x:f>
        <x:v/>
      </x:c>
      <x:c r="V45" s="3" t="str">
        <x:f>IFERROR(IF(VLOOKUP(A45,'4_스코어입력'!$A$4:$K$213,11,FALSE)&lt;=104,"진출",""),"")</x:f>
        <x:v/>
      </x:c>
      <x:c r="W45" s="4"/>
    </x:row>
    <x:row r="46" spans="1:23">
      <x:c r="A46" s="3">
        <x:v>43</x:v>
      </x:c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3" t="str">
        <x:f>IF(AND(L46="완료",N46="완료",O46="완료",P46="완료",Q46="완료"),"완료","확인필요")</x:f>
        <x:v>확인필요</x:v>
      </x:c>
      <x:c r="S46" s="3" t="str">
        <x:f>IF(E46&lt;&gt;"",ROUNDUP(A46/4,0),"")</x:f>
        <x:v/>
      </x:c>
      <x:c r="T46" s="3" t="str">
        <x:f>IF(S46="","",IF(S46&lt;=26,"1부","2부"))</x:f>
        <x:v/>
      </x:c>
      <x:c r="U46" s="3" t="str">
        <x:f>IF(S46="","",INDEX('2_1일차조편성'!$E$4:$E$56,S46))</x:f>
        <x:v/>
      </x:c>
      <x:c r="V46" s="3" t="str">
        <x:f>IFERROR(IF(VLOOKUP(A46,'4_스코어입력'!$A$4:$K$213,11,FALSE)&lt;=104,"진출",""),"")</x:f>
        <x:v/>
      </x:c>
      <x:c r="W46" s="4"/>
    </x:row>
    <x:row r="47" spans="1:23">
      <x:c r="A47" s="3">
        <x:v>44</x:v>
      </x:c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3" t="str">
        <x:f>IF(AND(L47="완료",N47="완료",O47="완료",P47="완료",Q47="완료"),"완료","확인필요")</x:f>
        <x:v>확인필요</x:v>
      </x:c>
      <x:c r="S47" s="3" t="str">
        <x:f>IF(E47&lt;&gt;"",ROUNDUP(A47/4,0),"")</x:f>
        <x:v/>
      </x:c>
      <x:c r="T47" s="3" t="str">
        <x:f>IF(S47="","",IF(S47&lt;=26,"1부","2부"))</x:f>
        <x:v/>
      </x:c>
      <x:c r="U47" s="3" t="str">
        <x:f>IF(S47="","",INDEX('2_1일차조편성'!$E$4:$E$56,S47))</x:f>
        <x:v/>
      </x:c>
      <x:c r="V47" s="3" t="str">
        <x:f>IFERROR(IF(VLOOKUP(A47,'4_스코어입력'!$A$4:$K$213,11,FALSE)&lt;=104,"진출",""),"")</x:f>
        <x:v/>
      </x:c>
      <x:c r="W47" s="4"/>
    </x:row>
    <x:row r="48" spans="1:23">
      <x:c r="A48" s="3">
        <x:v>45</x:v>
      </x:c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3" t="str">
        <x:f>IF(AND(L48="완료",N48="완료",O48="완료",P48="완료",Q48="완료"),"완료","확인필요")</x:f>
        <x:v>확인필요</x:v>
      </x:c>
      <x:c r="S48" s="3" t="str">
        <x:f>IF(E48&lt;&gt;"",ROUNDUP(A48/4,0),"")</x:f>
        <x:v/>
      </x:c>
      <x:c r="T48" s="3" t="str">
        <x:f>IF(S48="","",IF(S48&lt;=26,"1부","2부"))</x:f>
        <x:v/>
      </x:c>
      <x:c r="U48" s="3" t="str">
        <x:f>IF(S48="","",INDEX('2_1일차조편성'!$E$4:$E$56,S48))</x:f>
        <x:v/>
      </x:c>
      <x:c r="V48" s="3" t="str">
        <x:f>IFERROR(IF(VLOOKUP(A48,'4_스코어입력'!$A$4:$K$213,11,FALSE)&lt;=104,"진출",""),"")</x:f>
        <x:v/>
      </x:c>
      <x:c r="W48" s="4"/>
    </x:row>
    <x:row r="49" spans="1:23">
      <x:c r="A49" s="3">
        <x:v>46</x:v>
      </x:c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3" t="str">
        <x:f>IF(AND(L49="완료",N49="완료",O49="완료",P49="완료",Q49="완료"),"완료","확인필요")</x:f>
        <x:v>확인필요</x:v>
      </x:c>
      <x:c r="S49" s="3" t="str">
        <x:f>IF(E49&lt;&gt;"",ROUNDUP(A49/4,0),"")</x:f>
        <x:v/>
      </x:c>
      <x:c r="T49" s="3" t="str">
        <x:f>IF(S49="","",IF(S49&lt;=26,"1부","2부"))</x:f>
        <x:v/>
      </x:c>
      <x:c r="U49" s="3" t="str">
        <x:f>IF(S49="","",INDEX('2_1일차조편성'!$E$4:$E$56,S49))</x:f>
        <x:v/>
      </x:c>
      <x:c r="V49" s="3" t="str">
        <x:f>IFERROR(IF(VLOOKUP(A49,'4_스코어입력'!$A$4:$K$213,11,FALSE)&lt;=104,"진출",""),"")</x:f>
        <x:v/>
      </x:c>
      <x:c r="W49" s="4"/>
    </x:row>
    <x:row r="50" spans="1:23">
      <x:c r="A50" s="3">
        <x:v>47</x:v>
      </x:c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3" t="str">
        <x:f>IF(AND(L50="완료",N50="완료",O50="완료",P50="완료",Q50="완료"),"완료","확인필요")</x:f>
        <x:v>확인필요</x:v>
      </x:c>
      <x:c r="S50" s="3" t="str">
        <x:f>IF(E50&lt;&gt;"",ROUNDUP(A50/4,0),"")</x:f>
        <x:v/>
      </x:c>
      <x:c r="T50" s="3" t="str">
        <x:f>IF(S50="","",IF(S50&lt;=26,"1부","2부"))</x:f>
        <x:v/>
      </x:c>
      <x:c r="U50" s="3" t="str">
        <x:f>IF(S50="","",INDEX('2_1일차조편성'!$E$4:$E$56,S50))</x:f>
        <x:v/>
      </x:c>
      <x:c r="V50" s="3" t="str">
        <x:f>IFERROR(IF(VLOOKUP(A50,'4_스코어입력'!$A$4:$K$213,11,FALSE)&lt;=104,"진출",""),"")</x:f>
        <x:v/>
      </x:c>
      <x:c r="W50" s="4"/>
    </x:row>
    <x:row r="51" spans="1:23">
      <x:c r="A51" s="3">
        <x:v>48</x:v>
      </x:c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3" t="str">
        <x:f>IF(AND(L51="완료",N51="완료",O51="완료",P51="완료",Q51="완료"),"완료","확인필요")</x:f>
        <x:v>확인필요</x:v>
      </x:c>
      <x:c r="S51" s="3" t="str">
        <x:f>IF(E51&lt;&gt;"",ROUNDUP(A51/4,0),"")</x:f>
        <x:v/>
      </x:c>
      <x:c r="T51" s="3" t="str">
        <x:f>IF(S51="","",IF(S51&lt;=26,"1부","2부"))</x:f>
        <x:v/>
      </x:c>
      <x:c r="U51" s="3" t="str">
        <x:f>IF(S51="","",INDEX('2_1일차조편성'!$E$4:$E$56,S51))</x:f>
        <x:v/>
      </x:c>
      <x:c r="V51" s="3" t="str">
        <x:f>IFERROR(IF(VLOOKUP(A51,'4_스코어입력'!$A$4:$K$213,11,FALSE)&lt;=104,"진출",""),"")</x:f>
        <x:v/>
      </x:c>
      <x:c r="W51" s="4"/>
    </x:row>
    <x:row r="52" spans="1:23">
      <x:c r="A52" s="3">
        <x:v>49</x:v>
      </x:c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3" t="str">
        <x:f>IF(AND(L52="완료",N52="완료",O52="완료",P52="완료",Q52="완료"),"완료","확인필요")</x:f>
        <x:v>확인필요</x:v>
      </x:c>
      <x:c r="S52" s="3" t="str">
        <x:f>IF(E52&lt;&gt;"",ROUNDUP(A52/4,0),"")</x:f>
        <x:v/>
      </x:c>
      <x:c r="T52" s="3" t="str">
        <x:f>IF(S52="","",IF(S52&lt;=26,"1부","2부"))</x:f>
        <x:v/>
      </x:c>
      <x:c r="U52" s="3" t="str">
        <x:f>IF(S52="","",INDEX('2_1일차조편성'!$E$4:$E$56,S52))</x:f>
        <x:v/>
      </x:c>
      <x:c r="V52" s="3" t="str">
        <x:f>IFERROR(IF(VLOOKUP(A52,'4_스코어입력'!$A$4:$K$213,11,FALSE)&lt;=104,"진출",""),"")</x:f>
        <x:v/>
      </x:c>
      <x:c r="W52" s="4"/>
    </x:row>
    <x:row r="53" spans="1:23">
      <x:c r="A53" s="3">
        <x:v>50</x:v>
      </x:c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3" t="str">
        <x:f>IF(AND(L53="완료",N53="완료",O53="완료",P53="완료",Q53="완료"),"완료","확인필요")</x:f>
        <x:v>확인필요</x:v>
      </x:c>
      <x:c r="S53" s="3" t="str">
        <x:f>IF(E53&lt;&gt;"",ROUNDUP(A53/4,0),"")</x:f>
        <x:v/>
      </x:c>
      <x:c r="T53" s="3" t="str">
        <x:f>IF(S53="","",IF(S53&lt;=26,"1부","2부"))</x:f>
        <x:v/>
      </x:c>
      <x:c r="U53" s="3" t="str">
        <x:f>IF(S53="","",INDEX('2_1일차조편성'!$E$4:$E$56,S53))</x:f>
        <x:v/>
      </x:c>
      <x:c r="V53" s="3" t="str">
        <x:f>IFERROR(IF(VLOOKUP(A53,'4_스코어입력'!$A$4:$K$213,11,FALSE)&lt;=104,"진출",""),"")</x:f>
        <x:v/>
      </x:c>
      <x:c r="W53" s="4"/>
    </x:row>
    <x:row r="54" spans="1:23">
      <x:c r="A54" s="3">
        <x:v>51</x:v>
      </x:c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3" t="str">
        <x:f>IF(AND(L54="완료",N54="완료",O54="완료",P54="완료",Q54="완료"),"완료","확인필요")</x:f>
        <x:v>확인필요</x:v>
      </x:c>
      <x:c r="S54" s="3" t="str">
        <x:f>IF(E54&lt;&gt;"",ROUNDUP(A54/4,0),"")</x:f>
        <x:v/>
      </x:c>
      <x:c r="T54" s="3" t="str">
        <x:f>IF(S54="","",IF(S54&lt;=26,"1부","2부"))</x:f>
        <x:v/>
      </x:c>
      <x:c r="U54" s="3" t="str">
        <x:f>IF(S54="","",INDEX('2_1일차조편성'!$E$4:$E$56,S54))</x:f>
        <x:v/>
      </x:c>
      <x:c r="V54" s="3" t="str">
        <x:f>IFERROR(IF(VLOOKUP(A54,'4_스코어입력'!$A$4:$K$213,11,FALSE)&lt;=104,"진출",""),"")</x:f>
        <x:v/>
      </x:c>
      <x:c r="W54" s="4"/>
    </x:row>
    <x:row r="55" spans="1:23">
      <x:c r="A55" s="3">
        <x:v>52</x:v>
      </x:c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3" t="str">
        <x:f>IF(AND(L55="완료",N55="완료",O55="완료",P55="완료",Q55="완료"),"완료","확인필요")</x:f>
        <x:v>확인필요</x:v>
      </x:c>
      <x:c r="S55" s="3" t="str">
        <x:f>IF(E55&lt;&gt;"",ROUNDUP(A55/4,0),"")</x:f>
        <x:v/>
      </x:c>
      <x:c r="T55" s="3" t="str">
        <x:f>IF(S55="","",IF(S55&lt;=26,"1부","2부"))</x:f>
        <x:v/>
      </x:c>
      <x:c r="U55" s="3" t="str">
        <x:f>IF(S55="","",INDEX('2_1일차조편성'!$E$4:$E$56,S55))</x:f>
        <x:v/>
      </x:c>
      <x:c r="V55" s="3" t="str">
        <x:f>IFERROR(IF(VLOOKUP(A55,'4_스코어입력'!$A$4:$K$213,11,FALSE)&lt;=104,"진출",""),"")</x:f>
        <x:v/>
      </x:c>
      <x:c r="W55" s="4"/>
    </x:row>
    <x:row r="56" spans="1:23">
      <x:c r="A56" s="3">
        <x:v>53</x:v>
      </x:c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3" t="str">
        <x:f>IF(AND(L56="완료",N56="완료",O56="완료",P56="완료",Q56="완료"),"완료","확인필요")</x:f>
        <x:v>확인필요</x:v>
      </x:c>
      <x:c r="S56" s="3" t="str">
        <x:f>IF(E56&lt;&gt;"",ROUNDUP(A56/4,0),"")</x:f>
        <x:v/>
      </x:c>
      <x:c r="T56" s="3" t="str">
        <x:f>IF(S56="","",IF(S56&lt;=26,"1부","2부"))</x:f>
        <x:v/>
      </x:c>
      <x:c r="U56" s="3" t="str">
        <x:f>IF(S56="","",INDEX('2_1일차조편성'!$E$4:$E$56,S56))</x:f>
        <x:v/>
      </x:c>
      <x:c r="V56" s="3" t="str">
        <x:f>IFERROR(IF(VLOOKUP(A56,'4_스코어입력'!$A$4:$K$213,11,FALSE)&lt;=104,"진출",""),"")</x:f>
        <x:v/>
      </x:c>
      <x:c r="W56" s="4"/>
    </x:row>
    <x:row r="57" spans="1:23">
      <x:c r="A57" s="3">
        <x:v>54</x:v>
      </x:c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3" t="str">
        <x:f>IF(AND(L57="완료",N57="완료",O57="완료",P57="완료",Q57="완료"),"완료","확인필요")</x:f>
        <x:v>확인필요</x:v>
      </x:c>
      <x:c r="S57" s="3" t="str">
        <x:f>IF(E57&lt;&gt;"",ROUNDUP(A57/4,0),"")</x:f>
        <x:v/>
      </x:c>
      <x:c r="T57" s="3" t="str">
        <x:f>IF(S57="","",IF(S57&lt;=26,"1부","2부"))</x:f>
        <x:v/>
      </x:c>
      <x:c r="U57" s="3" t="str">
        <x:f>IF(S57="","",INDEX('2_1일차조편성'!$E$4:$E$56,S57))</x:f>
        <x:v/>
      </x:c>
      <x:c r="V57" s="3" t="str">
        <x:f>IFERROR(IF(VLOOKUP(A57,'4_스코어입력'!$A$4:$K$213,11,FALSE)&lt;=104,"진출",""),"")</x:f>
        <x:v/>
      </x:c>
      <x:c r="W57" s="4"/>
    </x:row>
    <x:row r="58" spans="1:23">
      <x:c r="A58" s="3">
        <x:v>55</x:v>
      </x:c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3" t="str">
        <x:f>IF(AND(L58="완료",N58="완료",O58="완료",P58="완료",Q58="완료"),"완료","확인필요")</x:f>
        <x:v>확인필요</x:v>
      </x:c>
      <x:c r="S58" s="3" t="str">
        <x:f>IF(E58&lt;&gt;"",ROUNDUP(A58/4,0),"")</x:f>
        <x:v/>
      </x:c>
      <x:c r="T58" s="3" t="str">
        <x:f>IF(S58="","",IF(S58&lt;=26,"1부","2부"))</x:f>
        <x:v/>
      </x:c>
      <x:c r="U58" s="3" t="str">
        <x:f>IF(S58="","",INDEX('2_1일차조편성'!$E$4:$E$56,S58))</x:f>
        <x:v/>
      </x:c>
      <x:c r="V58" s="3" t="str">
        <x:f>IFERROR(IF(VLOOKUP(A58,'4_스코어입력'!$A$4:$K$213,11,FALSE)&lt;=104,"진출",""),"")</x:f>
        <x:v/>
      </x:c>
      <x:c r="W58" s="4"/>
    </x:row>
    <x:row r="59" spans="1:23">
      <x:c r="A59" s="3">
        <x:v>56</x:v>
      </x:c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3" t="str">
        <x:f>IF(AND(L59="완료",N59="완료",O59="완료",P59="완료",Q59="완료"),"완료","확인필요")</x:f>
        <x:v>확인필요</x:v>
      </x:c>
      <x:c r="S59" s="3" t="str">
        <x:f>IF(E59&lt;&gt;"",ROUNDUP(A59/4,0),"")</x:f>
        <x:v/>
      </x:c>
      <x:c r="T59" s="3" t="str">
        <x:f>IF(S59="","",IF(S59&lt;=26,"1부","2부"))</x:f>
        <x:v/>
      </x:c>
      <x:c r="U59" s="3" t="str">
        <x:f>IF(S59="","",INDEX('2_1일차조편성'!$E$4:$E$56,S59))</x:f>
        <x:v/>
      </x:c>
      <x:c r="V59" s="3" t="str">
        <x:f>IFERROR(IF(VLOOKUP(A59,'4_스코어입력'!$A$4:$K$213,11,FALSE)&lt;=104,"진출",""),"")</x:f>
        <x:v/>
      </x:c>
      <x:c r="W59" s="4"/>
    </x:row>
    <x:row r="60" spans="1:23">
      <x:c r="A60" s="3">
        <x:v>57</x:v>
      </x:c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3" t="str">
        <x:f>IF(AND(L60="완료",N60="완료",O60="완료",P60="완료",Q60="완료"),"완료","확인필요")</x:f>
        <x:v>확인필요</x:v>
      </x:c>
      <x:c r="S60" s="3" t="str">
        <x:f>IF(E60&lt;&gt;"",ROUNDUP(A60/4,0),"")</x:f>
        <x:v/>
      </x:c>
      <x:c r="T60" s="3" t="str">
        <x:f>IF(S60="","",IF(S60&lt;=26,"1부","2부"))</x:f>
        <x:v/>
      </x:c>
      <x:c r="U60" s="3" t="str">
        <x:f>IF(S60="","",INDEX('2_1일차조편성'!$E$4:$E$56,S60))</x:f>
        <x:v/>
      </x:c>
      <x:c r="V60" s="3" t="str">
        <x:f>IFERROR(IF(VLOOKUP(A60,'4_스코어입력'!$A$4:$K$213,11,FALSE)&lt;=104,"진출",""),"")</x:f>
        <x:v/>
      </x:c>
      <x:c r="W60" s="4"/>
    </x:row>
    <x:row r="61" spans="1:23">
      <x:c r="A61" s="3">
        <x:v>58</x:v>
      </x:c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3" t="str">
        <x:f>IF(AND(L61="완료",N61="완료",O61="완료",P61="완료",Q61="완료"),"완료","확인필요")</x:f>
        <x:v>확인필요</x:v>
      </x:c>
      <x:c r="S61" s="3" t="str">
        <x:f>IF(E61&lt;&gt;"",ROUNDUP(A61/4,0),"")</x:f>
        <x:v/>
      </x:c>
      <x:c r="T61" s="3" t="str">
        <x:f>IF(S61="","",IF(S61&lt;=26,"1부","2부"))</x:f>
        <x:v/>
      </x:c>
      <x:c r="U61" s="3" t="str">
        <x:f>IF(S61="","",INDEX('2_1일차조편성'!$E$4:$E$56,S61))</x:f>
        <x:v/>
      </x:c>
      <x:c r="V61" s="3" t="str">
        <x:f>IFERROR(IF(VLOOKUP(A61,'4_스코어입력'!$A$4:$K$213,11,FALSE)&lt;=104,"진출",""),"")</x:f>
        <x:v/>
      </x:c>
      <x:c r="W61" s="4"/>
    </x:row>
    <x:row r="62" spans="1:23">
      <x:c r="A62" s="3">
        <x:v>59</x:v>
      </x:c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3" t="str">
        <x:f>IF(AND(L62="완료",N62="완료",O62="완료",P62="완료",Q62="완료"),"완료","확인필요")</x:f>
        <x:v>확인필요</x:v>
      </x:c>
      <x:c r="S62" s="3" t="str">
        <x:f>IF(E62&lt;&gt;"",ROUNDUP(A62/4,0),"")</x:f>
        <x:v/>
      </x:c>
      <x:c r="T62" s="3" t="str">
        <x:f>IF(S62="","",IF(S62&lt;=26,"1부","2부"))</x:f>
        <x:v/>
      </x:c>
      <x:c r="U62" s="3" t="str">
        <x:f>IF(S62="","",INDEX('2_1일차조편성'!$E$4:$E$56,S62))</x:f>
        <x:v/>
      </x:c>
      <x:c r="V62" s="3" t="str">
        <x:f>IFERROR(IF(VLOOKUP(A62,'4_스코어입력'!$A$4:$K$213,11,FALSE)&lt;=104,"진출",""),"")</x:f>
        <x:v/>
      </x:c>
      <x:c r="W62" s="4"/>
    </x:row>
    <x:row r="63" spans="1:23">
      <x:c r="A63" s="3">
        <x:v>60</x:v>
      </x:c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3" t="str">
        <x:f>IF(AND(L63="완료",N63="완료",O63="완료",P63="완료",Q63="완료"),"완료","확인필요")</x:f>
        <x:v>확인필요</x:v>
      </x:c>
      <x:c r="S63" s="3" t="str">
        <x:f>IF(E63&lt;&gt;"",ROUNDUP(A63/4,0),"")</x:f>
        <x:v/>
      </x:c>
      <x:c r="T63" s="3" t="str">
        <x:f>IF(S63="","",IF(S63&lt;=26,"1부","2부"))</x:f>
        <x:v/>
      </x:c>
      <x:c r="U63" s="3" t="str">
        <x:f>IF(S63="","",INDEX('2_1일차조편성'!$E$4:$E$56,S63))</x:f>
        <x:v/>
      </x:c>
      <x:c r="V63" s="3" t="str">
        <x:f>IFERROR(IF(VLOOKUP(A63,'4_스코어입력'!$A$4:$K$213,11,FALSE)&lt;=104,"진출",""),"")</x:f>
        <x:v/>
      </x:c>
      <x:c r="W63" s="4"/>
    </x:row>
    <x:row r="64" spans="1:23">
      <x:c r="A64" s="3">
        <x:v>61</x:v>
      </x:c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3" t="str">
        <x:f>IF(AND(L64="완료",N64="완료",O64="완료",P64="완료",Q64="완료"),"완료","확인필요")</x:f>
        <x:v>확인필요</x:v>
      </x:c>
      <x:c r="S64" s="3" t="str">
        <x:f>IF(E64&lt;&gt;"",ROUNDUP(A64/4,0),"")</x:f>
        <x:v/>
      </x:c>
      <x:c r="T64" s="3" t="str">
        <x:f>IF(S64="","",IF(S64&lt;=26,"1부","2부"))</x:f>
        <x:v/>
      </x:c>
      <x:c r="U64" s="3" t="str">
        <x:f>IF(S64="","",INDEX('2_1일차조편성'!$E$4:$E$56,S64))</x:f>
        <x:v/>
      </x:c>
      <x:c r="V64" s="3" t="str">
        <x:f>IFERROR(IF(VLOOKUP(A64,'4_스코어입력'!$A$4:$K$213,11,FALSE)&lt;=104,"진출",""),"")</x:f>
        <x:v/>
      </x:c>
      <x:c r="W64" s="4"/>
    </x:row>
    <x:row r="65" spans="1:23">
      <x:c r="A65" s="3">
        <x:v>62</x:v>
      </x:c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3" t="str">
        <x:f>IF(AND(L65="완료",N65="완료",O65="완료",P65="완료",Q65="완료"),"완료","확인필요")</x:f>
        <x:v>확인필요</x:v>
      </x:c>
      <x:c r="S65" s="3" t="str">
        <x:f>IF(E65&lt;&gt;"",ROUNDUP(A65/4,0),"")</x:f>
        <x:v/>
      </x:c>
      <x:c r="T65" s="3" t="str">
        <x:f>IF(S65="","",IF(S65&lt;=26,"1부","2부"))</x:f>
        <x:v/>
      </x:c>
      <x:c r="U65" s="3" t="str">
        <x:f>IF(S65="","",INDEX('2_1일차조편성'!$E$4:$E$56,S65))</x:f>
        <x:v/>
      </x:c>
      <x:c r="V65" s="3" t="str">
        <x:f>IFERROR(IF(VLOOKUP(A65,'4_스코어입력'!$A$4:$K$213,11,FALSE)&lt;=104,"진출",""),"")</x:f>
        <x:v/>
      </x:c>
      <x:c r="W65" s="4"/>
    </x:row>
    <x:row r="66" spans="1:23">
      <x:c r="A66" s="3">
        <x:v>63</x:v>
      </x:c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3" t="str">
        <x:f>IF(AND(L66="완료",N66="완료",O66="완료",P66="완료",Q66="완료"),"완료","확인필요")</x:f>
        <x:v>확인필요</x:v>
      </x:c>
      <x:c r="S66" s="3" t="str">
        <x:f>IF(E66&lt;&gt;"",ROUNDUP(A66/4,0),"")</x:f>
        <x:v/>
      </x:c>
      <x:c r="T66" s="3" t="str">
        <x:f>IF(S66="","",IF(S66&lt;=26,"1부","2부"))</x:f>
        <x:v/>
      </x:c>
      <x:c r="U66" s="3" t="str">
        <x:f>IF(S66="","",INDEX('2_1일차조편성'!$E$4:$E$56,S66))</x:f>
        <x:v/>
      </x:c>
      <x:c r="V66" s="3" t="str">
        <x:f>IFERROR(IF(VLOOKUP(A66,'4_스코어입력'!$A$4:$K$213,11,FALSE)&lt;=104,"진출",""),"")</x:f>
        <x:v/>
      </x:c>
      <x:c r="W66" s="4"/>
    </x:row>
    <x:row r="67" spans="1:23">
      <x:c r="A67" s="3">
        <x:v>64</x:v>
      </x:c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3" t="str">
        <x:f>IF(AND(L67="완료",N67="완료",O67="완료",P67="완료",Q67="완료"),"완료","확인필요")</x:f>
        <x:v>확인필요</x:v>
      </x:c>
      <x:c r="S67" s="3" t="str">
        <x:f>IF(E67&lt;&gt;"",ROUNDUP(A67/4,0),"")</x:f>
        <x:v/>
      </x:c>
      <x:c r="T67" s="3" t="str">
        <x:f>IF(S67="","",IF(S67&lt;=26,"1부","2부"))</x:f>
        <x:v/>
      </x:c>
      <x:c r="U67" s="3" t="str">
        <x:f>IF(S67="","",INDEX('2_1일차조편성'!$E$4:$E$56,S67))</x:f>
        <x:v/>
      </x:c>
      <x:c r="V67" s="3" t="str">
        <x:f>IFERROR(IF(VLOOKUP(A67,'4_스코어입력'!$A$4:$K$213,11,FALSE)&lt;=104,"진출",""),"")</x:f>
        <x:v/>
      </x:c>
      <x:c r="W67" s="4"/>
    </x:row>
    <x:row r="68" spans="1:23">
      <x:c r="A68" s="3">
        <x:v>65</x:v>
      </x:c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3" t="str">
        <x:f>IF(AND(L68="완료",N68="완료",O68="완료",P68="완료",Q68="완료"),"완료","확인필요")</x:f>
        <x:v>확인필요</x:v>
      </x:c>
      <x:c r="S68" s="3" t="str">
        <x:f>IF(E68&lt;&gt;"",ROUNDUP(A68/4,0),"")</x:f>
        <x:v/>
      </x:c>
      <x:c r="T68" s="3" t="str">
        <x:f>IF(S68="","",IF(S68&lt;=26,"1부","2부"))</x:f>
        <x:v/>
      </x:c>
      <x:c r="U68" s="3" t="str">
        <x:f>IF(S68="","",INDEX('2_1일차조편성'!$E$4:$E$56,S68))</x:f>
        <x:v/>
      </x:c>
      <x:c r="V68" s="3" t="str">
        <x:f>IFERROR(IF(VLOOKUP(A68,'4_스코어입력'!$A$4:$K$213,11,FALSE)&lt;=104,"진출",""),"")</x:f>
        <x:v/>
      </x:c>
      <x:c r="W68" s="4"/>
    </x:row>
    <x:row r="69" spans="1:23">
      <x:c r="A69" s="3">
        <x:v>66</x:v>
      </x:c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3" t="str">
        <x:f>IF(AND(L69="완료",N69="완료",O69="완료",P69="완료",Q69="완료"),"완료","확인필요")</x:f>
        <x:v>확인필요</x:v>
      </x:c>
      <x:c r="S69" s="3" t="str">
        <x:f>IF(E69&lt;&gt;"",ROUNDUP(A69/4,0),"")</x:f>
        <x:v/>
      </x:c>
      <x:c r="T69" s="3" t="str">
        <x:f>IF(S69="","",IF(S69&lt;=26,"1부","2부"))</x:f>
        <x:v/>
      </x:c>
      <x:c r="U69" s="3" t="str">
        <x:f>IF(S69="","",INDEX('2_1일차조편성'!$E$4:$E$56,S69))</x:f>
        <x:v/>
      </x:c>
      <x:c r="V69" s="3" t="str">
        <x:f>IFERROR(IF(VLOOKUP(A69,'4_스코어입력'!$A$4:$K$213,11,FALSE)&lt;=104,"진출",""),"")</x:f>
        <x:v/>
      </x:c>
      <x:c r="W69" s="4"/>
    </x:row>
    <x:row r="70" spans="1:23">
      <x:c r="A70" s="3">
        <x:v>67</x:v>
      </x:c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3" t="str">
        <x:f>IF(AND(L70="완료",N70="완료",O70="완료",P70="완료",Q70="완료"),"완료","확인필요")</x:f>
        <x:v>확인필요</x:v>
      </x:c>
      <x:c r="S70" s="3" t="str">
        <x:f>IF(E70&lt;&gt;"",ROUNDUP(A70/4,0),"")</x:f>
        <x:v/>
      </x:c>
      <x:c r="T70" s="3" t="str">
        <x:f>IF(S70="","",IF(S70&lt;=26,"1부","2부"))</x:f>
        <x:v/>
      </x:c>
      <x:c r="U70" s="3" t="str">
        <x:f>IF(S70="","",INDEX('2_1일차조편성'!$E$4:$E$56,S70))</x:f>
        <x:v/>
      </x:c>
      <x:c r="V70" s="3" t="str">
        <x:f>IFERROR(IF(VLOOKUP(A70,'4_스코어입력'!$A$4:$K$213,11,FALSE)&lt;=104,"진출",""),"")</x:f>
        <x:v/>
      </x:c>
      <x:c r="W70" s="4"/>
    </x:row>
    <x:row r="71" spans="1:23">
      <x:c r="A71" s="3">
        <x:v>68</x:v>
      </x:c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3" t="str">
        <x:f>IF(AND(L71="완료",N71="완료",O71="완료",P71="완료",Q71="완료"),"완료","확인필요")</x:f>
        <x:v>확인필요</x:v>
      </x:c>
      <x:c r="S71" s="3" t="str">
        <x:f>IF(E71&lt;&gt;"",ROUNDUP(A71/4,0),"")</x:f>
        <x:v/>
      </x:c>
      <x:c r="T71" s="3" t="str">
        <x:f>IF(S71="","",IF(S71&lt;=26,"1부","2부"))</x:f>
        <x:v/>
      </x:c>
      <x:c r="U71" s="3" t="str">
        <x:f>IF(S71="","",INDEX('2_1일차조편성'!$E$4:$E$56,S71))</x:f>
        <x:v/>
      </x:c>
      <x:c r="V71" s="3" t="str">
        <x:f>IFERROR(IF(VLOOKUP(A71,'4_스코어입력'!$A$4:$K$213,11,FALSE)&lt;=104,"진출",""),"")</x:f>
        <x:v/>
      </x:c>
      <x:c r="W71" s="4"/>
    </x:row>
    <x:row r="72" spans="1:23">
      <x:c r="A72" s="3">
        <x:v>69</x:v>
      </x:c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3" t="str">
        <x:f>IF(AND(L72="완료",N72="완료",O72="완료",P72="완료",Q72="완료"),"완료","확인필요")</x:f>
        <x:v>확인필요</x:v>
      </x:c>
      <x:c r="S72" s="3" t="str">
        <x:f>IF(E72&lt;&gt;"",ROUNDUP(A72/4,0),"")</x:f>
        <x:v/>
      </x:c>
      <x:c r="T72" s="3" t="str">
        <x:f>IF(S72="","",IF(S72&lt;=26,"1부","2부"))</x:f>
        <x:v/>
      </x:c>
      <x:c r="U72" s="3" t="str">
        <x:f>IF(S72="","",INDEX('2_1일차조편성'!$E$4:$E$56,S72))</x:f>
        <x:v/>
      </x:c>
      <x:c r="V72" s="3" t="str">
        <x:f>IFERROR(IF(VLOOKUP(A72,'4_스코어입력'!$A$4:$K$213,11,FALSE)&lt;=104,"진출",""),"")</x:f>
        <x:v/>
      </x:c>
      <x:c r="W72" s="4"/>
    </x:row>
    <x:row r="73" spans="1:23">
      <x:c r="A73" s="3">
        <x:v>70</x:v>
      </x:c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3" t="str">
        <x:f>IF(AND(L73="완료",N73="완료",O73="완료",P73="완료",Q73="완료"),"완료","확인필요")</x:f>
        <x:v>확인필요</x:v>
      </x:c>
      <x:c r="S73" s="3" t="str">
        <x:f>IF(E73&lt;&gt;"",ROUNDUP(A73/4,0),"")</x:f>
        <x:v/>
      </x:c>
      <x:c r="T73" s="3" t="str">
        <x:f>IF(S73="","",IF(S73&lt;=26,"1부","2부"))</x:f>
        <x:v/>
      </x:c>
      <x:c r="U73" s="3" t="str">
        <x:f>IF(S73="","",INDEX('2_1일차조편성'!$E$4:$E$56,S73))</x:f>
        <x:v/>
      </x:c>
      <x:c r="V73" s="3" t="str">
        <x:f>IFERROR(IF(VLOOKUP(A73,'4_스코어입력'!$A$4:$K$213,11,FALSE)&lt;=104,"진출",""),"")</x:f>
        <x:v/>
      </x:c>
      <x:c r="W73" s="4"/>
    </x:row>
    <x:row r="74" spans="1:23">
      <x:c r="A74" s="3">
        <x:v>71</x:v>
      </x:c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3" t="str">
        <x:f>IF(AND(L74="완료",N74="완료",O74="완료",P74="완료",Q74="완료"),"완료","확인필요")</x:f>
        <x:v>확인필요</x:v>
      </x:c>
      <x:c r="S74" s="3" t="str">
        <x:f>IF(E74&lt;&gt;"",ROUNDUP(A74/4,0),"")</x:f>
        <x:v/>
      </x:c>
      <x:c r="T74" s="3" t="str">
        <x:f>IF(S74="","",IF(S74&lt;=26,"1부","2부"))</x:f>
        <x:v/>
      </x:c>
      <x:c r="U74" s="3" t="str">
        <x:f>IF(S74="","",INDEX('2_1일차조편성'!$E$4:$E$56,S74))</x:f>
        <x:v/>
      </x:c>
      <x:c r="V74" s="3" t="str">
        <x:f>IFERROR(IF(VLOOKUP(A74,'4_스코어입력'!$A$4:$K$213,11,FALSE)&lt;=104,"진출",""),"")</x:f>
        <x:v/>
      </x:c>
      <x:c r="W74" s="4"/>
    </x:row>
    <x:row r="75" spans="1:23">
      <x:c r="A75" s="3">
        <x:v>72</x:v>
      </x:c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3" t="str">
        <x:f>IF(AND(L75="완료",N75="완료",O75="완료",P75="완료",Q75="완료"),"완료","확인필요")</x:f>
        <x:v>확인필요</x:v>
      </x:c>
      <x:c r="S75" s="3" t="str">
        <x:f>IF(E75&lt;&gt;"",ROUNDUP(A75/4,0),"")</x:f>
        <x:v/>
      </x:c>
      <x:c r="T75" s="3" t="str">
        <x:f>IF(S75="","",IF(S75&lt;=26,"1부","2부"))</x:f>
        <x:v/>
      </x:c>
      <x:c r="U75" s="3" t="str">
        <x:f>IF(S75="","",INDEX('2_1일차조편성'!$E$4:$E$56,S75))</x:f>
        <x:v/>
      </x:c>
      <x:c r="V75" s="3" t="str">
        <x:f>IFERROR(IF(VLOOKUP(A75,'4_스코어입력'!$A$4:$K$213,11,FALSE)&lt;=104,"진출",""),"")</x:f>
        <x:v/>
      </x:c>
      <x:c r="W75" s="4"/>
    </x:row>
    <x:row r="76" spans="1:23">
      <x:c r="A76" s="3">
        <x:v>73</x:v>
      </x:c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3" t="str">
        <x:f>IF(AND(L76="완료",N76="완료",O76="완료",P76="완료",Q76="완료"),"완료","확인필요")</x:f>
        <x:v>확인필요</x:v>
      </x:c>
      <x:c r="S76" s="3" t="str">
        <x:f>IF(E76&lt;&gt;"",ROUNDUP(A76/4,0),"")</x:f>
        <x:v/>
      </x:c>
      <x:c r="T76" s="3" t="str">
        <x:f>IF(S76="","",IF(S76&lt;=26,"1부","2부"))</x:f>
        <x:v/>
      </x:c>
      <x:c r="U76" s="3" t="str">
        <x:f>IF(S76="","",INDEX('2_1일차조편성'!$E$4:$E$56,S76))</x:f>
        <x:v/>
      </x:c>
      <x:c r="V76" s="3" t="str">
        <x:f>IFERROR(IF(VLOOKUP(A76,'4_스코어입력'!$A$4:$K$213,11,FALSE)&lt;=104,"진출",""),"")</x:f>
        <x:v/>
      </x:c>
      <x:c r="W76" s="4"/>
    </x:row>
    <x:row r="77" spans="1:23">
      <x:c r="A77" s="3">
        <x:v>74</x:v>
      </x:c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3" t="str">
        <x:f>IF(AND(L77="완료",N77="완료",O77="완료",P77="완료",Q77="완료"),"완료","확인필요")</x:f>
        <x:v>확인필요</x:v>
      </x:c>
      <x:c r="S77" s="3" t="str">
        <x:f>IF(E77&lt;&gt;"",ROUNDUP(A77/4,0),"")</x:f>
        <x:v/>
      </x:c>
      <x:c r="T77" s="3" t="str">
        <x:f>IF(S77="","",IF(S77&lt;=26,"1부","2부"))</x:f>
        <x:v/>
      </x:c>
      <x:c r="U77" s="3" t="str">
        <x:f>IF(S77="","",INDEX('2_1일차조편성'!$E$4:$E$56,S77))</x:f>
        <x:v/>
      </x:c>
      <x:c r="V77" s="3" t="str">
        <x:f>IFERROR(IF(VLOOKUP(A77,'4_스코어입력'!$A$4:$K$213,11,FALSE)&lt;=104,"진출",""),"")</x:f>
        <x:v/>
      </x:c>
      <x:c r="W77" s="4"/>
    </x:row>
    <x:row r="78" spans="1:23">
      <x:c r="A78" s="3">
        <x:v>75</x:v>
      </x:c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3" t="str">
        <x:f>IF(AND(L78="완료",N78="완료",O78="완료",P78="완료",Q78="완료"),"완료","확인필요")</x:f>
        <x:v>확인필요</x:v>
      </x:c>
      <x:c r="S78" s="3" t="str">
        <x:f>IF(E78&lt;&gt;"",ROUNDUP(A78/4,0),"")</x:f>
        <x:v/>
      </x:c>
      <x:c r="T78" s="3" t="str">
        <x:f>IF(S78="","",IF(S78&lt;=26,"1부","2부"))</x:f>
        <x:v/>
      </x:c>
      <x:c r="U78" s="3" t="str">
        <x:f>IF(S78="","",INDEX('2_1일차조편성'!$E$4:$E$56,S78))</x:f>
        <x:v/>
      </x:c>
      <x:c r="V78" s="3" t="str">
        <x:f>IFERROR(IF(VLOOKUP(A78,'4_스코어입력'!$A$4:$K$213,11,FALSE)&lt;=104,"진출",""),"")</x:f>
        <x:v/>
      </x:c>
      <x:c r="W78" s="4"/>
    </x:row>
    <x:row r="79" spans="1:23">
      <x:c r="A79" s="3">
        <x:v>76</x:v>
      </x:c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3" t="str">
        <x:f>IF(AND(L79="완료",N79="완료",O79="완료",P79="완료",Q79="완료"),"완료","확인필요")</x:f>
        <x:v>확인필요</x:v>
      </x:c>
      <x:c r="S79" s="3" t="str">
        <x:f>IF(E79&lt;&gt;"",ROUNDUP(A79/4,0),"")</x:f>
        <x:v/>
      </x:c>
      <x:c r="T79" s="3" t="str">
        <x:f>IF(S79="","",IF(S79&lt;=26,"1부","2부"))</x:f>
        <x:v/>
      </x:c>
      <x:c r="U79" s="3" t="str">
        <x:f>IF(S79="","",INDEX('2_1일차조편성'!$E$4:$E$56,S79))</x:f>
        <x:v/>
      </x:c>
      <x:c r="V79" s="3" t="str">
        <x:f>IFERROR(IF(VLOOKUP(A79,'4_스코어입력'!$A$4:$K$213,11,FALSE)&lt;=104,"진출",""),"")</x:f>
        <x:v/>
      </x:c>
      <x:c r="W79" s="4"/>
    </x:row>
    <x:row r="80" spans="1:23">
      <x:c r="A80" s="3">
        <x:v>77</x:v>
      </x:c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3" t="str">
        <x:f>IF(AND(L80="완료",N80="완료",O80="완료",P80="완료",Q80="완료"),"완료","확인필요")</x:f>
        <x:v>확인필요</x:v>
      </x:c>
      <x:c r="S80" s="3" t="str">
        <x:f>IF(E80&lt;&gt;"",ROUNDUP(A80/4,0),"")</x:f>
        <x:v/>
      </x:c>
      <x:c r="T80" s="3" t="str">
        <x:f>IF(S80="","",IF(S80&lt;=26,"1부","2부"))</x:f>
        <x:v/>
      </x:c>
      <x:c r="U80" s="3" t="str">
        <x:f>IF(S80="","",INDEX('2_1일차조편성'!$E$4:$E$56,S80))</x:f>
        <x:v/>
      </x:c>
      <x:c r="V80" s="3" t="str">
        <x:f>IFERROR(IF(VLOOKUP(A80,'4_스코어입력'!$A$4:$K$213,11,FALSE)&lt;=104,"진출",""),"")</x:f>
        <x:v/>
      </x:c>
      <x:c r="W80" s="4"/>
    </x:row>
    <x:row r="81" spans="1:23">
      <x:c r="A81" s="3">
        <x:v>78</x:v>
      </x:c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3" t="str">
        <x:f>IF(AND(L81="완료",N81="완료",O81="완료",P81="완료",Q81="완료"),"완료","확인필요")</x:f>
        <x:v>확인필요</x:v>
      </x:c>
      <x:c r="S81" s="3" t="str">
        <x:f>IF(E81&lt;&gt;"",ROUNDUP(A81/4,0),"")</x:f>
        <x:v/>
      </x:c>
      <x:c r="T81" s="3" t="str">
        <x:f>IF(S81="","",IF(S81&lt;=26,"1부","2부"))</x:f>
        <x:v/>
      </x:c>
      <x:c r="U81" s="3" t="str">
        <x:f>IF(S81="","",INDEX('2_1일차조편성'!$E$4:$E$56,S81))</x:f>
        <x:v/>
      </x:c>
      <x:c r="V81" s="3" t="str">
        <x:f>IFERROR(IF(VLOOKUP(A81,'4_스코어입력'!$A$4:$K$213,11,FALSE)&lt;=104,"진출",""),"")</x:f>
        <x:v/>
      </x:c>
      <x:c r="W81" s="4"/>
    </x:row>
    <x:row r="82" spans="1:23">
      <x:c r="A82" s="3">
        <x:v>79</x:v>
      </x:c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3" t="str">
        <x:f>IF(AND(L82="완료",N82="완료",O82="완료",P82="완료",Q82="완료"),"완료","확인필요")</x:f>
        <x:v>확인필요</x:v>
      </x:c>
      <x:c r="S82" s="3" t="str">
        <x:f>IF(E82&lt;&gt;"",ROUNDUP(A82/4,0),"")</x:f>
        <x:v/>
      </x:c>
      <x:c r="T82" s="3" t="str">
        <x:f>IF(S82="","",IF(S82&lt;=26,"1부","2부"))</x:f>
        <x:v/>
      </x:c>
      <x:c r="U82" s="3" t="str">
        <x:f>IF(S82="","",INDEX('2_1일차조편성'!$E$4:$E$56,S82))</x:f>
        <x:v/>
      </x:c>
      <x:c r="V82" s="3" t="str">
        <x:f>IFERROR(IF(VLOOKUP(A82,'4_스코어입력'!$A$4:$K$213,11,FALSE)&lt;=104,"진출",""),"")</x:f>
        <x:v/>
      </x:c>
      <x:c r="W82" s="4"/>
    </x:row>
    <x:row r="83" spans="1:23">
      <x:c r="A83" s="3">
        <x:v>80</x:v>
      </x:c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3" t="str">
        <x:f>IF(AND(L83="완료",N83="완료",O83="완료",P83="완료",Q83="완료"),"완료","확인필요")</x:f>
        <x:v>확인필요</x:v>
      </x:c>
      <x:c r="S83" s="3" t="str">
        <x:f>IF(E83&lt;&gt;"",ROUNDUP(A83/4,0),"")</x:f>
        <x:v/>
      </x:c>
      <x:c r="T83" s="3" t="str">
        <x:f>IF(S83="","",IF(S83&lt;=26,"1부","2부"))</x:f>
        <x:v/>
      </x:c>
      <x:c r="U83" s="3" t="str">
        <x:f>IF(S83="","",INDEX('2_1일차조편성'!$E$4:$E$56,S83))</x:f>
        <x:v/>
      </x:c>
      <x:c r="V83" s="3" t="str">
        <x:f>IFERROR(IF(VLOOKUP(A83,'4_스코어입력'!$A$4:$K$213,11,FALSE)&lt;=104,"진출",""),"")</x:f>
        <x:v/>
      </x:c>
      <x:c r="W83" s="4"/>
    </x:row>
    <x:row r="84" spans="1:23">
      <x:c r="A84" s="3">
        <x:v>81</x:v>
      </x:c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3" t="str">
        <x:f>IF(AND(L84="완료",N84="완료",O84="완료",P84="완료",Q84="완료"),"완료","확인필요")</x:f>
        <x:v>확인필요</x:v>
      </x:c>
      <x:c r="S84" s="3" t="str">
        <x:f>IF(E84&lt;&gt;"",ROUNDUP(A84/4,0),"")</x:f>
        <x:v/>
      </x:c>
      <x:c r="T84" s="3" t="str">
        <x:f>IF(S84="","",IF(S84&lt;=26,"1부","2부"))</x:f>
        <x:v/>
      </x:c>
      <x:c r="U84" s="3" t="str">
        <x:f>IF(S84="","",INDEX('2_1일차조편성'!$E$4:$E$56,S84))</x:f>
        <x:v/>
      </x:c>
      <x:c r="V84" s="3" t="str">
        <x:f>IFERROR(IF(VLOOKUP(A84,'4_스코어입력'!$A$4:$K$213,11,FALSE)&lt;=104,"진출",""),"")</x:f>
        <x:v/>
      </x:c>
      <x:c r="W84" s="4"/>
    </x:row>
    <x:row r="85" spans="1:23">
      <x:c r="A85" s="3">
        <x:v>82</x:v>
      </x:c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3" t="str">
        <x:f>IF(AND(L85="완료",N85="완료",O85="완료",P85="완료",Q85="완료"),"완료","확인필요")</x:f>
        <x:v>확인필요</x:v>
      </x:c>
      <x:c r="S85" s="3" t="str">
        <x:f>IF(E85&lt;&gt;"",ROUNDUP(A85/4,0),"")</x:f>
        <x:v/>
      </x:c>
      <x:c r="T85" s="3" t="str">
        <x:f>IF(S85="","",IF(S85&lt;=26,"1부","2부"))</x:f>
        <x:v/>
      </x:c>
      <x:c r="U85" s="3" t="str">
        <x:f>IF(S85="","",INDEX('2_1일차조편성'!$E$4:$E$56,S85))</x:f>
        <x:v/>
      </x:c>
      <x:c r="V85" s="3" t="str">
        <x:f>IFERROR(IF(VLOOKUP(A85,'4_스코어입력'!$A$4:$K$213,11,FALSE)&lt;=104,"진출",""),"")</x:f>
        <x:v/>
      </x:c>
      <x:c r="W85" s="4"/>
    </x:row>
    <x:row r="86" spans="1:23">
      <x:c r="A86" s="3">
        <x:v>83</x:v>
      </x:c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3" t="str">
        <x:f>IF(AND(L86="완료",N86="완료",O86="완료",P86="완료",Q86="완료"),"완료","확인필요")</x:f>
        <x:v>확인필요</x:v>
      </x:c>
      <x:c r="S86" s="3" t="str">
        <x:f>IF(E86&lt;&gt;"",ROUNDUP(A86/4,0),"")</x:f>
        <x:v/>
      </x:c>
      <x:c r="T86" s="3" t="str">
        <x:f>IF(S86="","",IF(S86&lt;=26,"1부","2부"))</x:f>
        <x:v/>
      </x:c>
      <x:c r="U86" s="3" t="str">
        <x:f>IF(S86="","",INDEX('2_1일차조편성'!$E$4:$E$56,S86))</x:f>
        <x:v/>
      </x:c>
      <x:c r="V86" s="3" t="str">
        <x:f>IFERROR(IF(VLOOKUP(A86,'4_스코어입력'!$A$4:$K$213,11,FALSE)&lt;=104,"진출",""),"")</x:f>
        <x:v/>
      </x:c>
      <x:c r="W86" s="4"/>
    </x:row>
    <x:row r="87" spans="1:23">
      <x:c r="A87" s="3">
        <x:v>84</x:v>
      </x:c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3" t="str">
        <x:f>IF(AND(L87="완료",N87="완료",O87="완료",P87="완료",Q87="완료"),"완료","확인필요")</x:f>
        <x:v>확인필요</x:v>
      </x:c>
      <x:c r="S87" s="3" t="str">
        <x:f>IF(E87&lt;&gt;"",ROUNDUP(A87/4,0),"")</x:f>
        <x:v/>
      </x:c>
      <x:c r="T87" s="3" t="str">
        <x:f>IF(S87="","",IF(S87&lt;=26,"1부","2부"))</x:f>
        <x:v/>
      </x:c>
      <x:c r="U87" s="3" t="str">
        <x:f>IF(S87="","",INDEX('2_1일차조편성'!$E$4:$E$56,S87))</x:f>
        <x:v/>
      </x:c>
      <x:c r="V87" s="3" t="str">
        <x:f>IFERROR(IF(VLOOKUP(A87,'4_스코어입력'!$A$4:$K$213,11,FALSE)&lt;=104,"진출",""),"")</x:f>
        <x:v/>
      </x:c>
      <x:c r="W87" s="4"/>
    </x:row>
    <x:row r="88" spans="1:23">
      <x:c r="A88" s="3">
        <x:v>85</x:v>
      </x:c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3" t="str">
        <x:f>IF(AND(L88="완료",N88="완료",O88="완료",P88="완료",Q88="완료"),"완료","확인필요")</x:f>
        <x:v>확인필요</x:v>
      </x:c>
      <x:c r="S88" s="3" t="str">
        <x:f>IF(E88&lt;&gt;"",ROUNDUP(A88/4,0),"")</x:f>
        <x:v/>
      </x:c>
      <x:c r="T88" s="3" t="str">
        <x:f>IF(S88="","",IF(S88&lt;=26,"1부","2부"))</x:f>
        <x:v/>
      </x:c>
      <x:c r="U88" s="3" t="str">
        <x:f>IF(S88="","",INDEX('2_1일차조편성'!$E$4:$E$56,S88))</x:f>
        <x:v/>
      </x:c>
      <x:c r="V88" s="3" t="str">
        <x:f>IFERROR(IF(VLOOKUP(A88,'4_스코어입력'!$A$4:$K$213,11,FALSE)&lt;=104,"진출",""),"")</x:f>
        <x:v/>
      </x:c>
      <x:c r="W88" s="4"/>
    </x:row>
    <x:row r="89" spans="1:23">
      <x:c r="A89" s="3">
        <x:v>86</x:v>
      </x:c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3" t="str">
        <x:f>IF(AND(L89="완료",N89="완료",O89="완료",P89="완료",Q89="완료"),"완료","확인필요")</x:f>
        <x:v>확인필요</x:v>
      </x:c>
      <x:c r="S89" s="3" t="str">
        <x:f>IF(E89&lt;&gt;"",ROUNDUP(A89/4,0),"")</x:f>
        <x:v/>
      </x:c>
      <x:c r="T89" s="3" t="str">
        <x:f>IF(S89="","",IF(S89&lt;=26,"1부","2부"))</x:f>
        <x:v/>
      </x:c>
      <x:c r="U89" s="3" t="str">
        <x:f>IF(S89="","",INDEX('2_1일차조편성'!$E$4:$E$56,S89))</x:f>
        <x:v/>
      </x:c>
      <x:c r="V89" s="3" t="str">
        <x:f>IFERROR(IF(VLOOKUP(A89,'4_스코어입력'!$A$4:$K$213,11,FALSE)&lt;=104,"진출",""),"")</x:f>
        <x:v/>
      </x:c>
      <x:c r="W89" s="4"/>
    </x:row>
    <x:row r="90" spans="1:23">
      <x:c r="A90" s="3">
        <x:v>87</x:v>
      </x:c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3" t="str">
        <x:f>IF(AND(L90="완료",N90="완료",O90="완료",P90="완료",Q90="완료"),"완료","확인필요")</x:f>
        <x:v>확인필요</x:v>
      </x:c>
      <x:c r="S90" s="3" t="str">
        <x:f>IF(E90&lt;&gt;"",ROUNDUP(A90/4,0),"")</x:f>
        <x:v/>
      </x:c>
      <x:c r="T90" s="3" t="str">
        <x:f>IF(S90="","",IF(S90&lt;=26,"1부","2부"))</x:f>
        <x:v/>
      </x:c>
      <x:c r="U90" s="3" t="str">
        <x:f>IF(S90="","",INDEX('2_1일차조편성'!$E$4:$E$56,S90))</x:f>
        <x:v/>
      </x:c>
      <x:c r="V90" s="3" t="str">
        <x:f>IFERROR(IF(VLOOKUP(A90,'4_스코어입력'!$A$4:$K$213,11,FALSE)&lt;=104,"진출",""),"")</x:f>
        <x:v/>
      </x:c>
      <x:c r="W90" s="4"/>
    </x:row>
    <x:row r="91" spans="1:23">
      <x:c r="A91" s="3">
        <x:v>88</x:v>
      </x:c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3" t="str">
        <x:f>IF(AND(L91="완료",N91="완료",O91="완료",P91="완료",Q91="완료"),"완료","확인필요")</x:f>
        <x:v>확인필요</x:v>
      </x:c>
      <x:c r="S91" s="3" t="str">
        <x:f>IF(E91&lt;&gt;"",ROUNDUP(A91/4,0),"")</x:f>
        <x:v/>
      </x:c>
      <x:c r="T91" s="3" t="str">
        <x:f>IF(S91="","",IF(S91&lt;=26,"1부","2부"))</x:f>
        <x:v/>
      </x:c>
      <x:c r="U91" s="3" t="str">
        <x:f>IF(S91="","",INDEX('2_1일차조편성'!$E$4:$E$56,S91))</x:f>
        <x:v/>
      </x:c>
      <x:c r="V91" s="3" t="str">
        <x:f>IFERROR(IF(VLOOKUP(A91,'4_스코어입력'!$A$4:$K$213,11,FALSE)&lt;=104,"진출",""),"")</x:f>
        <x:v/>
      </x:c>
      <x:c r="W91" s="4"/>
    </x:row>
    <x:row r="92" spans="1:23">
      <x:c r="A92" s="3">
        <x:v>89</x:v>
      </x:c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3" t="str">
        <x:f>IF(AND(L92="완료",N92="완료",O92="완료",P92="완료",Q92="완료"),"완료","확인필요")</x:f>
        <x:v>확인필요</x:v>
      </x:c>
      <x:c r="S92" s="3" t="str">
        <x:f>IF(E92&lt;&gt;"",ROUNDUP(A92/4,0),"")</x:f>
        <x:v/>
      </x:c>
      <x:c r="T92" s="3" t="str">
        <x:f>IF(S92="","",IF(S92&lt;=26,"1부","2부"))</x:f>
        <x:v/>
      </x:c>
      <x:c r="U92" s="3" t="str">
        <x:f>IF(S92="","",INDEX('2_1일차조편성'!$E$4:$E$56,S92))</x:f>
        <x:v/>
      </x:c>
      <x:c r="V92" s="3" t="str">
        <x:f>IFERROR(IF(VLOOKUP(A92,'4_스코어입력'!$A$4:$K$213,11,FALSE)&lt;=104,"진출",""),"")</x:f>
        <x:v/>
      </x:c>
      <x:c r="W92" s="4"/>
    </x:row>
    <x:row r="93" spans="1:23">
      <x:c r="A93" s="3">
        <x:v>90</x:v>
      </x:c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3" t="str">
        <x:f>IF(AND(L93="완료",N93="완료",O93="완료",P93="완료",Q93="완료"),"완료","확인필요")</x:f>
        <x:v>확인필요</x:v>
      </x:c>
      <x:c r="S93" s="3" t="str">
        <x:f>IF(E93&lt;&gt;"",ROUNDUP(A93/4,0),"")</x:f>
        <x:v/>
      </x:c>
      <x:c r="T93" s="3" t="str">
        <x:f>IF(S93="","",IF(S93&lt;=26,"1부","2부"))</x:f>
        <x:v/>
      </x:c>
      <x:c r="U93" s="3" t="str">
        <x:f>IF(S93="","",INDEX('2_1일차조편성'!$E$4:$E$56,S93))</x:f>
        <x:v/>
      </x:c>
      <x:c r="V93" s="3" t="str">
        <x:f>IFERROR(IF(VLOOKUP(A93,'4_스코어입력'!$A$4:$K$213,11,FALSE)&lt;=104,"진출",""),"")</x:f>
        <x:v/>
      </x:c>
      <x:c r="W93" s="4"/>
    </x:row>
    <x:row r="94" spans="1:23">
      <x:c r="A94" s="3">
        <x:v>91</x:v>
      </x:c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3" t="str">
        <x:f>IF(AND(L94="완료",N94="완료",O94="완료",P94="완료",Q94="완료"),"완료","확인필요")</x:f>
        <x:v>확인필요</x:v>
      </x:c>
      <x:c r="S94" s="3" t="str">
        <x:f>IF(E94&lt;&gt;"",ROUNDUP(A94/4,0),"")</x:f>
        <x:v/>
      </x:c>
      <x:c r="T94" s="3" t="str">
        <x:f>IF(S94="","",IF(S94&lt;=26,"1부","2부"))</x:f>
        <x:v/>
      </x:c>
      <x:c r="U94" s="3" t="str">
        <x:f>IF(S94="","",INDEX('2_1일차조편성'!$E$4:$E$56,S94))</x:f>
        <x:v/>
      </x:c>
      <x:c r="V94" s="3" t="str">
        <x:f>IFERROR(IF(VLOOKUP(A94,'4_스코어입력'!$A$4:$K$213,11,FALSE)&lt;=104,"진출",""),"")</x:f>
        <x:v/>
      </x:c>
      <x:c r="W94" s="4"/>
    </x:row>
    <x:row r="95" spans="1:23">
      <x:c r="A95" s="3">
        <x:v>92</x:v>
      </x:c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3" t="str">
        <x:f>IF(AND(L95="완료",N95="완료",O95="완료",P95="완료",Q95="완료"),"완료","확인필요")</x:f>
        <x:v>확인필요</x:v>
      </x:c>
      <x:c r="S95" s="3" t="str">
        <x:f>IF(E95&lt;&gt;"",ROUNDUP(A95/4,0),"")</x:f>
        <x:v/>
      </x:c>
      <x:c r="T95" s="3" t="str">
        <x:f>IF(S95="","",IF(S95&lt;=26,"1부","2부"))</x:f>
        <x:v/>
      </x:c>
      <x:c r="U95" s="3" t="str">
        <x:f>IF(S95="","",INDEX('2_1일차조편성'!$E$4:$E$56,S95))</x:f>
        <x:v/>
      </x:c>
      <x:c r="V95" s="3" t="str">
        <x:f>IFERROR(IF(VLOOKUP(A95,'4_스코어입력'!$A$4:$K$213,11,FALSE)&lt;=104,"진출",""),"")</x:f>
        <x:v/>
      </x:c>
      <x:c r="W95" s="4"/>
    </x:row>
    <x:row r="96" spans="1:23">
      <x:c r="A96" s="3">
        <x:v>93</x:v>
      </x:c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3" t="str">
        <x:f>IF(AND(L96="완료",N96="완료",O96="완료",P96="완료",Q96="완료"),"완료","확인필요")</x:f>
        <x:v>확인필요</x:v>
      </x:c>
      <x:c r="S96" s="3" t="str">
        <x:f>IF(E96&lt;&gt;"",ROUNDUP(A96/4,0),"")</x:f>
        <x:v/>
      </x:c>
      <x:c r="T96" s="3" t="str">
        <x:f>IF(S96="","",IF(S96&lt;=26,"1부","2부"))</x:f>
        <x:v/>
      </x:c>
      <x:c r="U96" s="3" t="str">
        <x:f>IF(S96="","",INDEX('2_1일차조편성'!$E$4:$E$56,S96))</x:f>
        <x:v/>
      </x:c>
      <x:c r="V96" s="3" t="str">
        <x:f>IFERROR(IF(VLOOKUP(A96,'4_스코어입력'!$A$4:$K$213,11,FALSE)&lt;=104,"진출",""),"")</x:f>
        <x:v/>
      </x:c>
      <x:c r="W96" s="4"/>
    </x:row>
    <x:row r="97" spans="1:23">
      <x:c r="A97" s="3">
        <x:v>94</x:v>
      </x:c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3" t="str">
        <x:f>IF(AND(L97="완료",N97="완료",O97="완료",P97="완료",Q97="완료"),"완료","확인필요")</x:f>
        <x:v>확인필요</x:v>
      </x:c>
      <x:c r="S97" s="3" t="str">
        <x:f>IF(E97&lt;&gt;"",ROUNDUP(A97/4,0),"")</x:f>
        <x:v/>
      </x:c>
      <x:c r="T97" s="3" t="str">
        <x:f>IF(S97="","",IF(S97&lt;=26,"1부","2부"))</x:f>
        <x:v/>
      </x:c>
      <x:c r="U97" s="3" t="str">
        <x:f>IF(S97="","",INDEX('2_1일차조편성'!$E$4:$E$56,S97))</x:f>
        <x:v/>
      </x:c>
      <x:c r="V97" s="3" t="str">
        <x:f>IFERROR(IF(VLOOKUP(A97,'4_스코어입력'!$A$4:$K$213,11,FALSE)&lt;=104,"진출",""),"")</x:f>
        <x:v/>
      </x:c>
      <x:c r="W97" s="4"/>
    </x:row>
    <x:row r="98" spans="1:23">
      <x:c r="A98" s="3">
        <x:v>95</x:v>
      </x:c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3" t="str">
        <x:f>IF(AND(L98="완료",N98="완료",O98="완료",P98="완료",Q98="완료"),"완료","확인필요")</x:f>
        <x:v>확인필요</x:v>
      </x:c>
      <x:c r="S98" s="3" t="str">
        <x:f>IF(E98&lt;&gt;"",ROUNDUP(A98/4,0),"")</x:f>
        <x:v/>
      </x:c>
      <x:c r="T98" s="3" t="str">
        <x:f>IF(S98="","",IF(S98&lt;=26,"1부","2부"))</x:f>
        <x:v/>
      </x:c>
      <x:c r="U98" s="3" t="str">
        <x:f>IF(S98="","",INDEX('2_1일차조편성'!$E$4:$E$56,S98))</x:f>
        <x:v/>
      </x:c>
      <x:c r="V98" s="3" t="str">
        <x:f>IFERROR(IF(VLOOKUP(A98,'4_스코어입력'!$A$4:$K$213,11,FALSE)&lt;=104,"진출",""),"")</x:f>
        <x:v/>
      </x:c>
      <x:c r="W98" s="4"/>
    </x:row>
    <x:row r="99" spans="1:23">
      <x:c r="A99" s="3">
        <x:v>96</x:v>
      </x:c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3" t="str">
        <x:f>IF(AND(L99="완료",N99="완료",O99="완료",P99="완료",Q99="완료"),"완료","확인필요")</x:f>
        <x:v>확인필요</x:v>
      </x:c>
      <x:c r="S99" s="3" t="str">
        <x:f>IF(E99&lt;&gt;"",ROUNDUP(A99/4,0),"")</x:f>
        <x:v/>
      </x:c>
      <x:c r="T99" s="3" t="str">
        <x:f>IF(S99="","",IF(S99&lt;=26,"1부","2부"))</x:f>
        <x:v/>
      </x:c>
      <x:c r="U99" s="3" t="str">
        <x:f>IF(S99="","",INDEX('2_1일차조편성'!$E$4:$E$56,S99))</x:f>
        <x:v/>
      </x:c>
      <x:c r="V99" s="3" t="str">
        <x:f>IFERROR(IF(VLOOKUP(A99,'4_스코어입력'!$A$4:$K$213,11,FALSE)&lt;=104,"진출",""),"")</x:f>
        <x:v/>
      </x:c>
      <x:c r="W99" s="4"/>
    </x:row>
    <x:row r="100" spans="1:23">
      <x:c r="A100" s="3">
        <x:v>97</x:v>
      </x:c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3" t="str">
        <x:f>IF(AND(L100="완료",N100="완료",O100="완료",P100="완료",Q100="완료"),"완료","확인필요")</x:f>
        <x:v>확인필요</x:v>
      </x:c>
      <x:c r="S100" s="3" t="str">
        <x:f>IF(E100&lt;&gt;"",ROUNDUP(A100/4,0),"")</x:f>
        <x:v/>
      </x:c>
      <x:c r="T100" s="3" t="str">
        <x:f>IF(S100="","",IF(S100&lt;=26,"1부","2부"))</x:f>
        <x:v/>
      </x:c>
      <x:c r="U100" s="3" t="str">
        <x:f>IF(S100="","",INDEX('2_1일차조편성'!$E$4:$E$56,S100))</x:f>
        <x:v/>
      </x:c>
      <x:c r="V100" s="3" t="str">
        <x:f>IFERROR(IF(VLOOKUP(A100,'4_스코어입력'!$A$4:$K$213,11,FALSE)&lt;=104,"진출",""),"")</x:f>
        <x:v/>
      </x:c>
      <x:c r="W100" s="4"/>
    </x:row>
    <x:row r="101" spans="1:23">
      <x:c r="A101" s="3">
        <x:v>98</x:v>
      </x:c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3" t="str">
        <x:f>IF(AND(L101="완료",N101="완료",O101="완료",P101="완료",Q101="완료"),"완료","확인필요")</x:f>
        <x:v>확인필요</x:v>
      </x:c>
      <x:c r="S101" s="3" t="str">
        <x:f>IF(E101&lt;&gt;"",ROUNDUP(A101/4,0),"")</x:f>
        <x:v/>
      </x:c>
      <x:c r="T101" s="3" t="str">
        <x:f>IF(S101="","",IF(S101&lt;=26,"1부","2부"))</x:f>
        <x:v/>
      </x:c>
      <x:c r="U101" s="3" t="str">
        <x:f>IF(S101="","",INDEX('2_1일차조편성'!$E$4:$E$56,S101))</x:f>
        <x:v/>
      </x:c>
      <x:c r="V101" s="3" t="str">
        <x:f>IFERROR(IF(VLOOKUP(A101,'4_스코어입력'!$A$4:$K$213,11,FALSE)&lt;=104,"진출",""),"")</x:f>
        <x:v/>
      </x:c>
      <x:c r="W101" s="4"/>
    </x:row>
    <x:row r="102" spans="1:23">
      <x:c r="A102" s="3">
        <x:v>99</x:v>
      </x:c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3" t="str">
        <x:f>IF(AND(L102="완료",N102="완료",O102="완료",P102="완료",Q102="완료"),"완료","확인필요")</x:f>
        <x:v>확인필요</x:v>
      </x:c>
      <x:c r="S102" s="3" t="str">
        <x:f>IF(E102&lt;&gt;"",ROUNDUP(A102/4,0),"")</x:f>
        <x:v/>
      </x:c>
      <x:c r="T102" s="3" t="str">
        <x:f>IF(S102="","",IF(S102&lt;=26,"1부","2부"))</x:f>
        <x:v/>
      </x:c>
      <x:c r="U102" s="3" t="str">
        <x:f>IF(S102="","",INDEX('2_1일차조편성'!$E$4:$E$56,S102))</x:f>
        <x:v/>
      </x:c>
      <x:c r="V102" s="3" t="str">
        <x:f>IFERROR(IF(VLOOKUP(A102,'4_스코어입력'!$A$4:$K$213,11,FALSE)&lt;=104,"진출",""),"")</x:f>
        <x:v/>
      </x:c>
      <x:c r="W102" s="4"/>
    </x:row>
    <x:row r="103" spans="1:23">
      <x:c r="A103" s="3">
        <x:v>100</x:v>
      </x:c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3" t="str">
        <x:f>IF(AND(L103="완료",N103="완료",O103="완료",P103="완료",Q103="완료"),"완료","확인필요")</x:f>
        <x:v>확인필요</x:v>
      </x:c>
      <x:c r="S103" s="3" t="str">
        <x:f>IF(E103&lt;&gt;"",ROUNDUP(A103/4,0),"")</x:f>
        <x:v/>
      </x:c>
      <x:c r="T103" s="3" t="str">
        <x:f>IF(S103="","",IF(S103&lt;=26,"1부","2부"))</x:f>
        <x:v/>
      </x:c>
      <x:c r="U103" s="3" t="str">
        <x:f>IF(S103="","",INDEX('2_1일차조편성'!$E$4:$E$56,S103))</x:f>
        <x:v/>
      </x:c>
      <x:c r="V103" s="3" t="str">
        <x:f>IFERROR(IF(VLOOKUP(A103,'4_스코어입력'!$A$4:$K$213,11,FALSE)&lt;=104,"진출",""),"")</x:f>
        <x:v/>
      </x:c>
      <x:c r="W103" s="4"/>
    </x:row>
    <x:row r="104" spans="1:23">
      <x:c r="A104" s="3">
        <x:v>101</x:v>
      </x:c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3" t="str">
        <x:f>IF(AND(L104="완료",N104="완료",O104="완료",P104="완료",Q104="완료"),"완료","확인필요")</x:f>
        <x:v>확인필요</x:v>
      </x:c>
      <x:c r="S104" s="3" t="str">
        <x:f>IF(E104&lt;&gt;"",ROUNDUP(A104/4,0),"")</x:f>
        <x:v/>
      </x:c>
      <x:c r="T104" s="3" t="str">
        <x:f>IF(S104="","",IF(S104&lt;=26,"1부","2부"))</x:f>
        <x:v/>
      </x:c>
      <x:c r="U104" s="3" t="str">
        <x:f>IF(S104="","",INDEX('2_1일차조편성'!$E$4:$E$56,S104))</x:f>
        <x:v/>
      </x:c>
      <x:c r="V104" s="3" t="str">
        <x:f>IFERROR(IF(VLOOKUP(A104,'4_스코어입력'!$A$4:$K$213,11,FALSE)&lt;=104,"진출",""),"")</x:f>
        <x:v/>
      </x:c>
      <x:c r="W104" s="4"/>
    </x:row>
    <x:row r="105" spans="1:23">
      <x:c r="A105" s="3">
        <x:v>102</x:v>
      </x:c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3" t="str">
        <x:f>IF(AND(L105="완료",N105="완료",O105="완료",P105="완료",Q105="완료"),"완료","확인필요")</x:f>
        <x:v>확인필요</x:v>
      </x:c>
      <x:c r="S105" s="3" t="str">
        <x:f>IF(E105&lt;&gt;"",ROUNDUP(A105/4,0),"")</x:f>
        <x:v/>
      </x:c>
      <x:c r="T105" s="3" t="str">
        <x:f>IF(S105="","",IF(S105&lt;=26,"1부","2부"))</x:f>
        <x:v/>
      </x:c>
      <x:c r="U105" s="3" t="str">
        <x:f>IF(S105="","",INDEX('2_1일차조편성'!$E$4:$E$56,S105))</x:f>
        <x:v/>
      </x:c>
      <x:c r="V105" s="3" t="str">
        <x:f>IFERROR(IF(VLOOKUP(A105,'4_스코어입력'!$A$4:$K$213,11,FALSE)&lt;=104,"진출",""),"")</x:f>
        <x:v/>
      </x:c>
      <x:c r="W105" s="4"/>
    </x:row>
    <x:row r="106" spans="1:23">
      <x:c r="A106" s="3">
        <x:v>103</x:v>
      </x:c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3" t="str">
        <x:f>IF(AND(L106="완료",N106="완료",O106="완료",P106="완료",Q106="완료"),"완료","확인필요")</x:f>
        <x:v>확인필요</x:v>
      </x:c>
      <x:c r="S106" s="3" t="str">
        <x:f>IF(E106&lt;&gt;"",ROUNDUP(A106/4,0),"")</x:f>
        <x:v/>
      </x:c>
      <x:c r="T106" s="3" t="str">
        <x:f>IF(S106="","",IF(S106&lt;=26,"1부","2부"))</x:f>
        <x:v/>
      </x:c>
      <x:c r="U106" s="3" t="str">
        <x:f>IF(S106="","",INDEX('2_1일차조편성'!$E$4:$E$56,S106))</x:f>
        <x:v/>
      </x:c>
      <x:c r="V106" s="3" t="str">
        <x:f>IFERROR(IF(VLOOKUP(A106,'4_스코어입력'!$A$4:$K$213,11,FALSE)&lt;=104,"진출",""),"")</x:f>
        <x:v/>
      </x:c>
      <x:c r="W106" s="4"/>
    </x:row>
    <x:row r="107" spans="1:23">
      <x:c r="A107" s="3">
        <x:v>104</x:v>
      </x:c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3" t="str">
        <x:f>IF(AND(L107="완료",N107="완료",O107="완료",P107="완료",Q107="완료"),"완료","확인필요")</x:f>
        <x:v>확인필요</x:v>
      </x:c>
      <x:c r="S107" s="3" t="str">
        <x:f>IF(E107&lt;&gt;"",ROUNDUP(A107/4,0),"")</x:f>
        <x:v/>
      </x:c>
      <x:c r="T107" s="3" t="str">
        <x:f>IF(S107="","",IF(S107&lt;=26,"1부","2부"))</x:f>
        <x:v/>
      </x:c>
      <x:c r="U107" s="3" t="str">
        <x:f>IF(S107="","",INDEX('2_1일차조편성'!$E$4:$E$56,S107))</x:f>
        <x:v/>
      </x:c>
      <x:c r="V107" s="3" t="str">
        <x:f>IFERROR(IF(VLOOKUP(A107,'4_스코어입력'!$A$4:$K$213,11,FALSE)&lt;=104,"진출",""),"")</x:f>
        <x:v/>
      </x:c>
      <x:c r="W107" s="4"/>
    </x:row>
    <x:row r="108" spans="1:23">
      <x:c r="A108" s="3">
        <x:v>105</x:v>
      </x:c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3" t="str">
        <x:f>IF(AND(L108="완료",N108="완료",O108="완료",P108="완료",Q108="완료"),"완료","확인필요")</x:f>
        <x:v>확인필요</x:v>
      </x:c>
      <x:c r="S108" s="3" t="str">
        <x:f>IF(E108&lt;&gt;"",ROUNDUP(A108/4,0),"")</x:f>
        <x:v/>
      </x:c>
      <x:c r="T108" s="3" t="str">
        <x:f>IF(S108="","",IF(S108&lt;=26,"1부","2부"))</x:f>
        <x:v/>
      </x:c>
      <x:c r="U108" s="3" t="str">
        <x:f>IF(S108="","",INDEX('2_1일차조편성'!$E$4:$E$56,S108))</x:f>
        <x:v/>
      </x:c>
      <x:c r="V108" s="3" t="str">
        <x:f>IFERROR(IF(VLOOKUP(A108,'4_스코어입력'!$A$4:$K$213,11,FALSE)&lt;=104,"진출",""),"")</x:f>
        <x:v/>
      </x:c>
      <x:c r="W108" s="4"/>
    </x:row>
    <x:row r="109" spans="1:23">
      <x:c r="A109" s="3">
        <x:v>106</x:v>
      </x:c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3" t="str">
        <x:f>IF(AND(L109="완료",N109="완료",O109="완료",P109="완료",Q109="완료"),"완료","확인필요")</x:f>
        <x:v>확인필요</x:v>
      </x:c>
      <x:c r="S109" s="3" t="str">
        <x:f>IF(E109&lt;&gt;"",ROUNDUP(A109/4,0),"")</x:f>
        <x:v/>
      </x:c>
      <x:c r="T109" s="3" t="str">
        <x:f>IF(S109="","",IF(S109&lt;=26,"1부","2부"))</x:f>
        <x:v/>
      </x:c>
      <x:c r="U109" s="3" t="str">
        <x:f>IF(S109="","",INDEX('2_1일차조편성'!$E$4:$E$56,S109))</x:f>
        <x:v/>
      </x:c>
      <x:c r="V109" s="3" t="str">
        <x:f>IFERROR(IF(VLOOKUP(A109,'4_스코어입력'!$A$4:$K$213,11,FALSE)&lt;=104,"진출",""),"")</x:f>
        <x:v/>
      </x:c>
      <x:c r="W109" s="4"/>
    </x:row>
    <x:row r="110" spans="1:23">
      <x:c r="A110" s="3">
        <x:v>107</x:v>
      </x:c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3" t="str">
        <x:f>IF(AND(L110="완료",N110="완료",O110="완료",P110="완료",Q110="완료"),"완료","확인필요")</x:f>
        <x:v>확인필요</x:v>
      </x:c>
      <x:c r="S110" s="3" t="str">
        <x:f>IF(E110&lt;&gt;"",ROUNDUP(A110/4,0),"")</x:f>
        <x:v/>
      </x:c>
      <x:c r="T110" s="3" t="str">
        <x:f>IF(S110="","",IF(S110&lt;=26,"1부","2부"))</x:f>
        <x:v/>
      </x:c>
      <x:c r="U110" s="3" t="str">
        <x:f>IF(S110="","",INDEX('2_1일차조편성'!$E$4:$E$56,S110))</x:f>
        <x:v/>
      </x:c>
      <x:c r="V110" s="3" t="str">
        <x:f>IFERROR(IF(VLOOKUP(A110,'4_스코어입력'!$A$4:$K$213,11,FALSE)&lt;=104,"진출",""),"")</x:f>
        <x:v/>
      </x:c>
      <x:c r="W110" s="4"/>
    </x:row>
    <x:row r="111" spans="1:23">
      <x:c r="A111" s="3">
        <x:v>108</x:v>
      </x:c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3" t="str">
        <x:f>IF(AND(L111="완료",N111="완료",O111="완료",P111="완료",Q111="완료"),"완료","확인필요")</x:f>
        <x:v>확인필요</x:v>
      </x:c>
      <x:c r="S111" s="3" t="str">
        <x:f>IF(E111&lt;&gt;"",ROUNDUP(A111/4,0),"")</x:f>
        <x:v/>
      </x:c>
      <x:c r="T111" s="3" t="str">
        <x:f>IF(S111="","",IF(S111&lt;=26,"1부","2부"))</x:f>
        <x:v/>
      </x:c>
      <x:c r="U111" s="3" t="str">
        <x:f>IF(S111="","",INDEX('2_1일차조편성'!$E$4:$E$56,S111))</x:f>
        <x:v/>
      </x:c>
      <x:c r="V111" s="3" t="str">
        <x:f>IFERROR(IF(VLOOKUP(A111,'4_스코어입력'!$A$4:$K$213,11,FALSE)&lt;=104,"진출",""),"")</x:f>
        <x:v/>
      </x:c>
      <x:c r="W111" s="4"/>
    </x:row>
    <x:row r="112" spans="1:23">
      <x:c r="A112" s="3">
        <x:v>109</x:v>
      </x:c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3" t="str">
        <x:f>IF(AND(L112="완료",N112="완료",O112="완료",P112="완료",Q112="완료"),"완료","확인필요")</x:f>
        <x:v>확인필요</x:v>
      </x:c>
      <x:c r="S112" s="3" t="str">
        <x:f>IF(E112&lt;&gt;"",ROUNDUP(A112/4,0),"")</x:f>
        <x:v/>
      </x:c>
      <x:c r="T112" s="3" t="str">
        <x:f>IF(S112="","",IF(S112&lt;=26,"1부","2부"))</x:f>
        <x:v/>
      </x:c>
      <x:c r="U112" s="3" t="str">
        <x:f>IF(S112="","",INDEX('2_1일차조편성'!$E$4:$E$56,S112))</x:f>
        <x:v/>
      </x:c>
      <x:c r="V112" s="3" t="str">
        <x:f>IFERROR(IF(VLOOKUP(A112,'4_스코어입력'!$A$4:$K$213,11,FALSE)&lt;=104,"진출",""),"")</x:f>
        <x:v/>
      </x:c>
      <x:c r="W112" s="4"/>
    </x:row>
    <x:row r="113" spans="1:23">
      <x:c r="A113" s="3">
        <x:v>110</x:v>
      </x:c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3" t="str">
        <x:f>IF(AND(L113="완료",N113="완료",O113="완료",P113="완료",Q113="완료"),"완료","확인필요")</x:f>
        <x:v>확인필요</x:v>
      </x:c>
      <x:c r="S113" s="3" t="str">
        <x:f>IF(E113&lt;&gt;"",ROUNDUP(A113/4,0),"")</x:f>
        <x:v/>
      </x:c>
      <x:c r="T113" s="3" t="str">
        <x:f>IF(S113="","",IF(S113&lt;=26,"1부","2부"))</x:f>
        <x:v/>
      </x:c>
      <x:c r="U113" s="3" t="str">
        <x:f>IF(S113="","",INDEX('2_1일차조편성'!$E$4:$E$56,S113))</x:f>
        <x:v/>
      </x:c>
      <x:c r="V113" s="3" t="str">
        <x:f>IFERROR(IF(VLOOKUP(A113,'4_스코어입력'!$A$4:$K$213,11,FALSE)&lt;=104,"진출",""),"")</x:f>
        <x:v/>
      </x:c>
      <x:c r="W113" s="4"/>
    </x:row>
    <x:row r="114" spans="1:23">
      <x:c r="A114" s="3">
        <x:v>111</x:v>
      </x:c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3" t="str">
        <x:f>IF(AND(L114="완료",N114="완료",O114="완료",P114="완료",Q114="완료"),"완료","확인필요")</x:f>
        <x:v>확인필요</x:v>
      </x:c>
      <x:c r="S114" s="3" t="str">
        <x:f>IF(E114&lt;&gt;"",ROUNDUP(A114/4,0),"")</x:f>
        <x:v/>
      </x:c>
      <x:c r="T114" s="3" t="str">
        <x:f>IF(S114="","",IF(S114&lt;=26,"1부","2부"))</x:f>
        <x:v/>
      </x:c>
      <x:c r="U114" s="3" t="str">
        <x:f>IF(S114="","",INDEX('2_1일차조편성'!$E$4:$E$56,S114))</x:f>
        <x:v/>
      </x:c>
      <x:c r="V114" s="3" t="str">
        <x:f>IFERROR(IF(VLOOKUP(A114,'4_스코어입력'!$A$4:$K$213,11,FALSE)&lt;=104,"진출",""),"")</x:f>
        <x:v/>
      </x:c>
      <x:c r="W114" s="4"/>
    </x:row>
    <x:row r="115" spans="1:23">
      <x:c r="A115" s="3">
        <x:v>112</x:v>
      </x:c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3" t="str">
        <x:f>IF(AND(L115="완료",N115="완료",O115="완료",P115="완료",Q115="완료"),"완료","확인필요")</x:f>
        <x:v>확인필요</x:v>
      </x:c>
      <x:c r="S115" s="3" t="str">
        <x:f>IF(E115&lt;&gt;"",ROUNDUP(A115/4,0),"")</x:f>
        <x:v/>
      </x:c>
      <x:c r="T115" s="3" t="str">
        <x:f>IF(S115="","",IF(S115&lt;=26,"1부","2부"))</x:f>
        <x:v/>
      </x:c>
      <x:c r="U115" s="3" t="str">
        <x:f>IF(S115="","",INDEX('2_1일차조편성'!$E$4:$E$56,S115))</x:f>
        <x:v/>
      </x:c>
      <x:c r="V115" s="3" t="str">
        <x:f>IFERROR(IF(VLOOKUP(A115,'4_스코어입력'!$A$4:$K$213,11,FALSE)&lt;=104,"진출",""),"")</x:f>
        <x:v/>
      </x:c>
      <x:c r="W115" s="4"/>
    </x:row>
    <x:row r="116" spans="1:23">
      <x:c r="A116" s="3">
        <x:v>113</x:v>
      </x:c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3" t="str">
        <x:f>IF(AND(L116="완료",N116="완료",O116="완료",P116="완료",Q116="완료"),"완료","확인필요")</x:f>
        <x:v>확인필요</x:v>
      </x:c>
      <x:c r="S116" s="3" t="str">
        <x:f>IF(E116&lt;&gt;"",ROUNDUP(A116/4,0),"")</x:f>
        <x:v/>
      </x:c>
      <x:c r="T116" s="3" t="str">
        <x:f>IF(S116="","",IF(S116&lt;=26,"1부","2부"))</x:f>
        <x:v/>
      </x:c>
      <x:c r="U116" s="3" t="str">
        <x:f>IF(S116="","",INDEX('2_1일차조편성'!$E$4:$E$56,S116))</x:f>
        <x:v/>
      </x:c>
      <x:c r="V116" s="3" t="str">
        <x:f>IFERROR(IF(VLOOKUP(A116,'4_스코어입력'!$A$4:$K$213,11,FALSE)&lt;=104,"진출",""),"")</x:f>
        <x:v/>
      </x:c>
      <x:c r="W116" s="4"/>
    </x:row>
    <x:row r="117" spans="1:23">
      <x:c r="A117" s="3">
        <x:v>114</x:v>
      </x:c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3" t="str">
        <x:f>IF(AND(L117="완료",N117="완료",O117="완료",P117="완료",Q117="완료"),"완료","확인필요")</x:f>
        <x:v>확인필요</x:v>
      </x:c>
      <x:c r="S117" s="3" t="str">
        <x:f>IF(E117&lt;&gt;"",ROUNDUP(A117/4,0),"")</x:f>
        <x:v/>
      </x:c>
      <x:c r="T117" s="3" t="str">
        <x:f>IF(S117="","",IF(S117&lt;=26,"1부","2부"))</x:f>
        <x:v/>
      </x:c>
      <x:c r="U117" s="3" t="str">
        <x:f>IF(S117="","",INDEX('2_1일차조편성'!$E$4:$E$56,S117))</x:f>
        <x:v/>
      </x:c>
      <x:c r="V117" s="3" t="str">
        <x:f>IFERROR(IF(VLOOKUP(A117,'4_스코어입력'!$A$4:$K$213,11,FALSE)&lt;=104,"진출",""),"")</x:f>
        <x:v/>
      </x:c>
      <x:c r="W117" s="4"/>
    </x:row>
    <x:row r="118" spans="1:23">
      <x:c r="A118" s="3">
        <x:v>115</x:v>
      </x:c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3" t="str">
        <x:f>IF(AND(L118="완료",N118="완료",O118="완료",P118="완료",Q118="완료"),"완료","확인필요")</x:f>
        <x:v>확인필요</x:v>
      </x:c>
      <x:c r="S118" s="3" t="str">
        <x:f>IF(E118&lt;&gt;"",ROUNDUP(A118/4,0),"")</x:f>
        <x:v/>
      </x:c>
      <x:c r="T118" s="3" t="str">
        <x:f>IF(S118="","",IF(S118&lt;=26,"1부","2부"))</x:f>
        <x:v/>
      </x:c>
      <x:c r="U118" s="3" t="str">
        <x:f>IF(S118="","",INDEX('2_1일차조편성'!$E$4:$E$56,S118))</x:f>
        <x:v/>
      </x:c>
      <x:c r="V118" s="3" t="str">
        <x:f>IFERROR(IF(VLOOKUP(A118,'4_스코어입력'!$A$4:$K$213,11,FALSE)&lt;=104,"진출",""),"")</x:f>
        <x:v/>
      </x:c>
      <x:c r="W118" s="4"/>
    </x:row>
    <x:row r="119" spans="1:23">
      <x:c r="A119" s="3">
        <x:v>116</x:v>
      </x:c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3" t="str">
        <x:f>IF(AND(L119="완료",N119="완료",O119="완료",P119="완료",Q119="완료"),"완료","확인필요")</x:f>
        <x:v>확인필요</x:v>
      </x:c>
      <x:c r="S119" s="3" t="str">
        <x:f>IF(E119&lt;&gt;"",ROUNDUP(A119/4,0),"")</x:f>
        <x:v/>
      </x:c>
      <x:c r="T119" s="3" t="str">
        <x:f>IF(S119="","",IF(S119&lt;=26,"1부","2부"))</x:f>
        <x:v/>
      </x:c>
      <x:c r="U119" s="3" t="str">
        <x:f>IF(S119="","",INDEX('2_1일차조편성'!$E$4:$E$56,S119))</x:f>
        <x:v/>
      </x:c>
      <x:c r="V119" s="3" t="str">
        <x:f>IFERROR(IF(VLOOKUP(A119,'4_스코어입력'!$A$4:$K$213,11,FALSE)&lt;=104,"진출",""),"")</x:f>
        <x:v/>
      </x:c>
      <x:c r="W119" s="4"/>
    </x:row>
    <x:row r="120" spans="1:23">
      <x:c r="A120" s="3">
        <x:v>117</x:v>
      </x:c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3" t="str">
        <x:f>IF(AND(L120="완료",N120="완료",O120="완료",P120="완료",Q120="완료"),"완료","확인필요")</x:f>
        <x:v>확인필요</x:v>
      </x:c>
      <x:c r="S120" s="3" t="str">
        <x:f>IF(E120&lt;&gt;"",ROUNDUP(A120/4,0),"")</x:f>
        <x:v/>
      </x:c>
      <x:c r="T120" s="3" t="str">
        <x:f>IF(S120="","",IF(S120&lt;=26,"1부","2부"))</x:f>
        <x:v/>
      </x:c>
      <x:c r="U120" s="3" t="str">
        <x:f>IF(S120="","",INDEX('2_1일차조편성'!$E$4:$E$56,S120))</x:f>
        <x:v/>
      </x:c>
      <x:c r="V120" s="3" t="str">
        <x:f>IFERROR(IF(VLOOKUP(A120,'4_스코어입력'!$A$4:$K$213,11,FALSE)&lt;=104,"진출",""),"")</x:f>
        <x:v/>
      </x:c>
      <x:c r="W120" s="4"/>
    </x:row>
    <x:row r="121" spans="1:23">
      <x:c r="A121" s="3">
        <x:v>118</x:v>
      </x:c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3" t="str">
        <x:f>IF(AND(L121="완료",N121="완료",O121="완료",P121="완료",Q121="완료"),"완료","확인필요")</x:f>
        <x:v>확인필요</x:v>
      </x:c>
      <x:c r="S121" s="3" t="str">
        <x:f>IF(E121&lt;&gt;"",ROUNDUP(A121/4,0),"")</x:f>
        <x:v/>
      </x:c>
      <x:c r="T121" s="3" t="str">
        <x:f>IF(S121="","",IF(S121&lt;=26,"1부","2부"))</x:f>
        <x:v/>
      </x:c>
      <x:c r="U121" s="3" t="str">
        <x:f>IF(S121="","",INDEX('2_1일차조편성'!$E$4:$E$56,S121))</x:f>
        <x:v/>
      </x:c>
      <x:c r="V121" s="3" t="str">
        <x:f>IFERROR(IF(VLOOKUP(A121,'4_스코어입력'!$A$4:$K$213,11,FALSE)&lt;=104,"진출",""),"")</x:f>
        <x:v/>
      </x:c>
      <x:c r="W121" s="4"/>
    </x:row>
    <x:row r="122" spans="1:23">
      <x:c r="A122" s="3">
        <x:v>119</x:v>
      </x:c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3" t="str">
        <x:f>IF(AND(L122="완료",N122="완료",O122="완료",P122="완료",Q122="완료"),"완료","확인필요")</x:f>
        <x:v>확인필요</x:v>
      </x:c>
      <x:c r="S122" s="3" t="str">
        <x:f>IF(E122&lt;&gt;"",ROUNDUP(A122/4,0),"")</x:f>
        <x:v/>
      </x:c>
      <x:c r="T122" s="3" t="str">
        <x:f>IF(S122="","",IF(S122&lt;=26,"1부","2부"))</x:f>
        <x:v/>
      </x:c>
      <x:c r="U122" s="3" t="str">
        <x:f>IF(S122="","",INDEX('2_1일차조편성'!$E$4:$E$56,S122))</x:f>
        <x:v/>
      </x:c>
      <x:c r="V122" s="3" t="str">
        <x:f>IFERROR(IF(VLOOKUP(A122,'4_스코어입력'!$A$4:$K$213,11,FALSE)&lt;=104,"진출",""),"")</x:f>
        <x:v/>
      </x:c>
      <x:c r="W122" s="4"/>
    </x:row>
    <x:row r="123" spans="1:23">
      <x:c r="A123" s="3">
        <x:v>120</x:v>
      </x:c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3" t="str">
        <x:f>IF(AND(L123="완료",N123="완료",O123="완료",P123="완료",Q123="완료"),"완료","확인필요")</x:f>
        <x:v>확인필요</x:v>
      </x:c>
      <x:c r="S123" s="3" t="str">
        <x:f>IF(E123&lt;&gt;"",ROUNDUP(A123/4,0),"")</x:f>
        <x:v/>
      </x:c>
      <x:c r="T123" s="3" t="str">
        <x:f>IF(S123="","",IF(S123&lt;=26,"1부","2부"))</x:f>
        <x:v/>
      </x:c>
      <x:c r="U123" s="3" t="str">
        <x:f>IF(S123="","",INDEX('2_1일차조편성'!$E$4:$E$56,S123))</x:f>
        <x:v/>
      </x:c>
      <x:c r="V123" s="3" t="str">
        <x:f>IFERROR(IF(VLOOKUP(A123,'4_스코어입력'!$A$4:$K$213,11,FALSE)&lt;=104,"진출",""),"")</x:f>
        <x:v/>
      </x:c>
      <x:c r="W123" s="4"/>
    </x:row>
    <x:row r="124" spans="1:23">
      <x:c r="A124" s="3">
        <x:v>121</x:v>
      </x:c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3" t="str">
        <x:f>IF(AND(L124="완료",N124="완료",O124="완료",P124="완료",Q124="완료"),"완료","확인필요")</x:f>
        <x:v>확인필요</x:v>
      </x:c>
      <x:c r="S124" s="3" t="str">
        <x:f>IF(E124&lt;&gt;"",ROUNDUP(A124/4,0),"")</x:f>
        <x:v/>
      </x:c>
      <x:c r="T124" s="3" t="str">
        <x:f>IF(S124="","",IF(S124&lt;=26,"1부","2부"))</x:f>
        <x:v/>
      </x:c>
      <x:c r="U124" s="3" t="str">
        <x:f>IF(S124="","",INDEX('2_1일차조편성'!$E$4:$E$56,S124))</x:f>
        <x:v/>
      </x:c>
      <x:c r="V124" s="3" t="str">
        <x:f>IFERROR(IF(VLOOKUP(A124,'4_스코어입력'!$A$4:$K$213,11,FALSE)&lt;=104,"진출",""),"")</x:f>
        <x:v/>
      </x:c>
      <x:c r="W124" s="4"/>
    </x:row>
    <x:row r="125" spans="1:23">
      <x:c r="A125" s="3">
        <x:v>122</x:v>
      </x:c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3" t="str">
        <x:f>IF(AND(L125="완료",N125="완료",O125="완료",P125="완료",Q125="완료"),"완료","확인필요")</x:f>
        <x:v>확인필요</x:v>
      </x:c>
      <x:c r="S125" s="3" t="str">
        <x:f>IF(E125&lt;&gt;"",ROUNDUP(A125/4,0),"")</x:f>
        <x:v/>
      </x:c>
      <x:c r="T125" s="3" t="str">
        <x:f>IF(S125="","",IF(S125&lt;=26,"1부","2부"))</x:f>
        <x:v/>
      </x:c>
      <x:c r="U125" s="3" t="str">
        <x:f>IF(S125="","",INDEX('2_1일차조편성'!$E$4:$E$56,S125))</x:f>
        <x:v/>
      </x:c>
      <x:c r="V125" s="3" t="str">
        <x:f>IFERROR(IF(VLOOKUP(A125,'4_스코어입력'!$A$4:$K$213,11,FALSE)&lt;=104,"진출",""),"")</x:f>
        <x:v/>
      </x:c>
      <x:c r="W125" s="4"/>
    </x:row>
    <x:row r="126" spans="1:23">
      <x:c r="A126" s="3">
        <x:v>123</x:v>
      </x:c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3" t="str">
        <x:f>IF(AND(L126="완료",N126="완료",O126="완료",P126="완료",Q126="완료"),"완료","확인필요")</x:f>
        <x:v>확인필요</x:v>
      </x:c>
      <x:c r="S126" s="3" t="str">
        <x:f>IF(E126&lt;&gt;"",ROUNDUP(A126/4,0),"")</x:f>
        <x:v/>
      </x:c>
      <x:c r="T126" s="3" t="str">
        <x:f>IF(S126="","",IF(S126&lt;=26,"1부","2부"))</x:f>
        <x:v/>
      </x:c>
      <x:c r="U126" s="3" t="str">
        <x:f>IF(S126="","",INDEX('2_1일차조편성'!$E$4:$E$56,S126))</x:f>
        <x:v/>
      </x:c>
      <x:c r="V126" s="3" t="str">
        <x:f>IFERROR(IF(VLOOKUP(A126,'4_스코어입력'!$A$4:$K$213,11,FALSE)&lt;=104,"진출",""),"")</x:f>
        <x:v/>
      </x:c>
      <x:c r="W126" s="4"/>
    </x:row>
    <x:row r="127" spans="1:23">
      <x:c r="A127" s="3">
        <x:v>124</x:v>
      </x:c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3" t="str">
        <x:f>IF(AND(L127="완료",N127="완료",O127="완료",P127="완료",Q127="완료"),"완료","확인필요")</x:f>
        <x:v>확인필요</x:v>
      </x:c>
      <x:c r="S127" s="3" t="str">
        <x:f>IF(E127&lt;&gt;"",ROUNDUP(A127/4,0),"")</x:f>
        <x:v/>
      </x:c>
      <x:c r="T127" s="3" t="str">
        <x:f>IF(S127="","",IF(S127&lt;=26,"1부","2부"))</x:f>
        <x:v/>
      </x:c>
      <x:c r="U127" s="3" t="str">
        <x:f>IF(S127="","",INDEX('2_1일차조편성'!$E$4:$E$56,S127))</x:f>
        <x:v/>
      </x:c>
      <x:c r="V127" s="3" t="str">
        <x:f>IFERROR(IF(VLOOKUP(A127,'4_스코어입력'!$A$4:$K$213,11,FALSE)&lt;=104,"진출",""),"")</x:f>
        <x:v/>
      </x:c>
      <x:c r="W127" s="4"/>
    </x:row>
    <x:row r="128" spans="1:23">
      <x:c r="A128" s="3">
        <x:v>125</x:v>
      </x:c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3" t="str">
        <x:f>IF(AND(L128="완료",N128="완료",O128="완료",P128="완료",Q128="완료"),"완료","확인필요")</x:f>
        <x:v>확인필요</x:v>
      </x:c>
      <x:c r="S128" s="3" t="str">
        <x:f>IF(E128&lt;&gt;"",ROUNDUP(A128/4,0),"")</x:f>
        <x:v/>
      </x:c>
      <x:c r="T128" s="3" t="str">
        <x:f>IF(S128="","",IF(S128&lt;=26,"1부","2부"))</x:f>
        <x:v/>
      </x:c>
      <x:c r="U128" s="3" t="str">
        <x:f>IF(S128="","",INDEX('2_1일차조편성'!$E$4:$E$56,S128))</x:f>
        <x:v/>
      </x:c>
      <x:c r="V128" s="3" t="str">
        <x:f>IFERROR(IF(VLOOKUP(A128,'4_스코어입력'!$A$4:$K$213,11,FALSE)&lt;=104,"진출",""),"")</x:f>
        <x:v/>
      </x:c>
      <x:c r="W128" s="4"/>
    </x:row>
    <x:row r="129" spans="1:23">
      <x:c r="A129" s="3">
        <x:v>126</x:v>
      </x:c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3" t="str">
        <x:f>IF(AND(L129="완료",N129="완료",O129="완료",P129="완료",Q129="완료"),"완료","확인필요")</x:f>
        <x:v>확인필요</x:v>
      </x:c>
      <x:c r="S129" s="3" t="str">
        <x:f>IF(E129&lt;&gt;"",ROUNDUP(A129/4,0),"")</x:f>
        <x:v/>
      </x:c>
      <x:c r="T129" s="3" t="str">
        <x:f>IF(S129="","",IF(S129&lt;=26,"1부","2부"))</x:f>
        <x:v/>
      </x:c>
      <x:c r="U129" s="3" t="str">
        <x:f>IF(S129="","",INDEX('2_1일차조편성'!$E$4:$E$56,S129))</x:f>
        <x:v/>
      </x:c>
      <x:c r="V129" s="3" t="str">
        <x:f>IFERROR(IF(VLOOKUP(A129,'4_스코어입력'!$A$4:$K$213,11,FALSE)&lt;=104,"진출",""),"")</x:f>
        <x:v/>
      </x:c>
      <x:c r="W129" s="4"/>
    </x:row>
    <x:row r="130" spans="1:23">
      <x:c r="A130" s="3">
        <x:v>127</x:v>
      </x:c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3" t="str">
        <x:f>IF(AND(L130="완료",N130="완료",O130="완료",P130="완료",Q130="완료"),"완료","확인필요")</x:f>
        <x:v>확인필요</x:v>
      </x:c>
      <x:c r="S130" s="3" t="str">
        <x:f>IF(E130&lt;&gt;"",ROUNDUP(A130/4,0),"")</x:f>
        <x:v/>
      </x:c>
      <x:c r="T130" s="3" t="str">
        <x:f>IF(S130="","",IF(S130&lt;=26,"1부","2부"))</x:f>
        <x:v/>
      </x:c>
      <x:c r="U130" s="3" t="str">
        <x:f>IF(S130="","",INDEX('2_1일차조편성'!$E$4:$E$56,S130))</x:f>
        <x:v/>
      </x:c>
      <x:c r="V130" s="3" t="str">
        <x:f>IFERROR(IF(VLOOKUP(A130,'4_스코어입력'!$A$4:$K$213,11,FALSE)&lt;=104,"진출",""),"")</x:f>
        <x:v/>
      </x:c>
      <x:c r="W130" s="4"/>
    </x:row>
    <x:row r="131" spans="1:23">
      <x:c r="A131" s="3">
        <x:v>128</x:v>
      </x:c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3" t="str">
        <x:f>IF(AND(L131="완료",N131="완료",O131="완료",P131="완료",Q131="완료"),"완료","확인필요")</x:f>
        <x:v>확인필요</x:v>
      </x:c>
      <x:c r="S131" s="3" t="str">
        <x:f>IF(E131&lt;&gt;"",ROUNDUP(A131/4,0),"")</x:f>
        <x:v/>
      </x:c>
      <x:c r="T131" s="3" t="str">
        <x:f>IF(S131="","",IF(S131&lt;=26,"1부","2부"))</x:f>
        <x:v/>
      </x:c>
      <x:c r="U131" s="3" t="str">
        <x:f>IF(S131="","",INDEX('2_1일차조편성'!$E$4:$E$56,S131))</x:f>
        <x:v/>
      </x:c>
      <x:c r="V131" s="3" t="str">
        <x:f>IFERROR(IF(VLOOKUP(A131,'4_스코어입력'!$A$4:$K$213,11,FALSE)&lt;=104,"진출",""),"")</x:f>
        <x:v/>
      </x:c>
      <x:c r="W131" s="4"/>
    </x:row>
    <x:row r="132" spans="1:23">
      <x:c r="A132" s="3">
        <x:v>129</x:v>
      </x:c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3" t="str">
        <x:f>IF(AND(L132="완료",N132="완료",O132="완료",P132="완료",Q132="완료"),"완료","확인필요")</x:f>
        <x:v>확인필요</x:v>
      </x:c>
      <x:c r="S132" s="3" t="str">
        <x:f>IF(E132&lt;&gt;"",ROUNDUP(A132/4,0),"")</x:f>
        <x:v/>
      </x:c>
      <x:c r="T132" s="3" t="str">
        <x:f>IF(S132="","",IF(S132&lt;=26,"1부","2부"))</x:f>
        <x:v/>
      </x:c>
      <x:c r="U132" s="3" t="str">
        <x:f>IF(S132="","",INDEX('2_1일차조편성'!$E$4:$E$56,S132))</x:f>
        <x:v/>
      </x:c>
      <x:c r="V132" s="3" t="str">
        <x:f>IFERROR(IF(VLOOKUP(A132,'4_스코어입력'!$A$4:$K$213,11,FALSE)&lt;=104,"진출",""),"")</x:f>
        <x:v/>
      </x:c>
      <x:c r="W132" s="4"/>
    </x:row>
    <x:row r="133" spans="1:23">
      <x:c r="A133" s="3">
        <x:v>130</x:v>
      </x:c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3" t="str">
        <x:f>IF(AND(L133="완료",N133="완료",O133="완료",P133="완료",Q133="완료"),"완료","확인필요")</x:f>
        <x:v>확인필요</x:v>
      </x:c>
      <x:c r="S133" s="3" t="str">
        <x:f>IF(E133&lt;&gt;"",ROUNDUP(A133/4,0),"")</x:f>
        <x:v/>
      </x:c>
      <x:c r="T133" s="3" t="str">
        <x:f>IF(S133="","",IF(S133&lt;=26,"1부","2부"))</x:f>
        <x:v/>
      </x:c>
      <x:c r="U133" s="3" t="str">
        <x:f>IF(S133="","",INDEX('2_1일차조편성'!$E$4:$E$56,S133))</x:f>
        <x:v/>
      </x:c>
      <x:c r="V133" s="3" t="str">
        <x:f>IFERROR(IF(VLOOKUP(A133,'4_스코어입력'!$A$4:$K$213,11,FALSE)&lt;=104,"진출",""),"")</x:f>
        <x:v/>
      </x:c>
      <x:c r="W133" s="4"/>
    </x:row>
    <x:row r="134" spans="1:23">
      <x:c r="A134" s="3">
        <x:v>131</x:v>
      </x:c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3" t="str">
        <x:f>IF(AND(L134="완료",N134="완료",O134="완료",P134="완료",Q134="완료"),"완료","확인필요")</x:f>
        <x:v>확인필요</x:v>
      </x:c>
      <x:c r="S134" s="3" t="str">
        <x:f>IF(E134&lt;&gt;"",ROUNDUP(A134/4,0),"")</x:f>
        <x:v/>
      </x:c>
      <x:c r="T134" s="3" t="str">
        <x:f>IF(S134="","",IF(S134&lt;=26,"1부","2부"))</x:f>
        <x:v/>
      </x:c>
      <x:c r="U134" s="3" t="str">
        <x:f>IF(S134="","",INDEX('2_1일차조편성'!$E$4:$E$56,S134))</x:f>
        <x:v/>
      </x:c>
      <x:c r="V134" s="3" t="str">
        <x:f>IFERROR(IF(VLOOKUP(A134,'4_스코어입력'!$A$4:$K$213,11,FALSE)&lt;=104,"진출",""),"")</x:f>
        <x:v/>
      </x:c>
      <x:c r="W134" s="4"/>
    </x:row>
    <x:row r="135" spans="1:23">
      <x:c r="A135" s="3">
        <x:v>132</x:v>
      </x:c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3" t="str">
        <x:f>IF(AND(L135="완료",N135="완료",O135="완료",P135="완료",Q135="완료"),"완료","확인필요")</x:f>
        <x:v>확인필요</x:v>
      </x:c>
      <x:c r="S135" s="3" t="str">
        <x:f>IF(E135&lt;&gt;"",ROUNDUP(A135/4,0),"")</x:f>
        <x:v/>
      </x:c>
      <x:c r="T135" s="3" t="str">
        <x:f>IF(S135="","",IF(S135&lt;=26,"1부","2부"))</x:f>
        <x:v/>
      </x:c>
      <x:c r="U135" s="3" t="str">
        <x:f>IF(S135="","",INDEX('2_1일차조편성'!$E$4:$E$56,S135))</x:f>
        <x:v/>
      </x:c>
      <x:c r="V135" s="3" t="str">
        <x:f>IFERROR(IF(VLOOKUP(A135,'4_스코어입력'!$A$4:$K$213,11,FALSE)&lt;=104,"진출",""),"")</x:f>
        <x:v/>
      </x:c>
      <x:c r="W135" s="4"/>
    </x:row>
    <x:row r="136" spans="1:23">
      <x:c r="A136" s="3">
        <x:v>133</x:v>
      </x:c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3" t="str">
        <x:f>IF(AND(L136="완료",N136="완료",O136="완료",P136="완료",Q136="완료"),"완료","확인필요")</x:f>
        <x:v>확인필요</x:v>
      </x:c>
      <x:c r="S136" s="3" t="str">
        <x:f>IF(E136&lt;&gt;"",ROUNDUP(A136/4,0),"")</x:f>
        <x:v/>
      </x:c>
      <x:c r="T136" s="3" t="str">
        <x:f>IF(S136="","",IF(S136&lt;=26,"1부","2부"))</x:f>
        <x:v/>
      </x:c>
      <x:c r="U136" s="3" t="str">
        <x:f>IF(S136="","",INDEX('2_1일차조편성'!$E$4:$E$56,S136))</x:f>
        <x:v/>
      </x:c>
      <x:c r="V136" s="3" t="str">
        <x:f>IFERROR(IF(VLOOKUP(A136,'4_스코어입력'!$A$4:$K$213,11,FALSE)&lt;=104,"진출",""),"")</x:f>
        <x:v/>
      </x:c>
      <x:c r="W136" s="4"/>
    </x:row>
    <x:row r="137" spans="1:23">
      <x:c r="A137" s="3">
        <x:v>134</x:v>
      </x:c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3" t="str">
        <x:f>IF(AND(L137="완료",N137="완료",O137="완료",P137="완료",Q137="완료"),"완료","확인필요")</x:f>
        <x:v>확인필요</x:v>
      </x:c>
      <x:c r="S137" s="3" t="str">
        <x:f>IF(E137&lt;&gt;"",ROUNDUP(A137/4,0),"")</x:f>
        <x:v/>
      </x:c>
      <x:c r="T137" s="3" t="str">
        <x:f>IF(S137="","",IF(S137&lt;=26,"1부","2부"))</x:f>
        <x:v/>
      </x:c>
      <x:c r="U137" s="3" t="str">
        <x:f>IF(S137="","",INDEX('2_1일차조편성'!$E$4:$E$56,S137))</x:f>
        <x:v/>
      </x:c>
      <x:c r="V137" s="3" t="str">
        <x:f>IFERROR(IF(VLOOKUP(A137,'4_스코어입력'!$A$4:$K$213,11,FALSE)&lt;=104,"진출",""),"")</x:f>
        <x:v/>
      </x:c>
      <x:c r="W137" s="4"/>
    </x:row>
    <x:row r="138" spans="1:23">
      <x:c r="A138" s="3">
        <x:v>135</x:v>
      </x:c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3" t="str">
        <x:f>IF(AND(L138="완료",N138="완료",O138="완료",P138="완료",Q138="완료"),"완료","확인필요")</x:f>
        <x:v>확인필요</x:v>
      </x:c>
      <x:c r="S138" s="3" t="str">
        <x:f>IF(E138&lt;&gt;"",ROUNDUP(A138/4,0),"")</x:f>
        <x:v/>
      </x:c>
      <x:c r="T138" s="3" t="str">
        <x:f>IF(S138="","",IF(S138&lt;=26,"1부","2부"))</x:f>
        <x:v/>
      </x:c>
      <x:c r="U138" s="3" t="str">
        <x:f>IF(S138="","",INDEX('2_1일차조편성'!$E$4:$E$56,S138))</x:f>
        <x:v/>
      </x:c>
      <x:c r="V138" s="3" t="str">
        <x:f>IFERROR(IF(VLOOKUP(A138,'4_스코어입력'!$A$4:$K$213,11,FALSE)&lt;=104,"진출",""),"")</x:f>
        <x:v/>
      </x:c>
      <x:c r="W138" s="4"/>
    </x:row>
    <x:row r="139" spans="1:23">
      <x:c r="A139" s="3">
        <x:v>136</x:v>
      </x:c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3" t="str">
        <x:f>IF(AND(L139="완료",N139="완료",O139="완료",P139="완료",Q139="완료"),"완료","확인필요")</x:f>
        <x:v>확인필요</x:v>
      </x:c>
      <x:c r="S139" s="3" t="str">
        <x:f>IF(E139&lt;&gt;"",ROUNDUP(A139/4,0),"")</x:f>
        <x:v/>
      </x:c>
      <x:c r="T139" s="3" t="str">
        <x:f>IF(S139="","",IF(S139&lt;=26,"1부","2부"))</x:f>
        <x:v/>
      </x:c>
      <x:c r="U139" s="3" t="str">
        <x:f>IF(S139="","",INDEX('2_1일차조편성'!$E$4:$E$56,S139))</x:f>
        <x:v/>
      </x:c>
      <x:c r="V139" s="3" t="str">
        <x:f>IFERROR(IF(VLOOKUP(A139,'4_스코어입력'!$A$4:$K$213,11,FALSE)&lt;=104,"진출",""),"")</x:f>
        <x:v/>
      </x:c>
      <x:c r="W139" s="4"/>
    </x:row>
    <x:row r="140" spans="1:23">
      <x:c r="A140" s="3">
        <x:v>137</x:v>
      </x:c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3" t="str">
        <x:f>IF(AND(L140="완료",N140="완료",O140="완료",P140="완료",Q140="완료"),"완료","확인필요")</x:f>
        <x:v>확인필요</x:v>
      </x:c>
      <x:c r="S140" s="3" t="str">
        <x:f>IF(E140&lt;&gt;"",ROUNDUP(A140/4,0),"")</x:f>
        <x:v/>
      </x:c>
      <x:c r="T140" s="3" t="str">
        <x:f>IF(S140="","",IF(S140&lt;=26,"1부","2부"))</x:f>
        <x:v/>
      </x:c>
      <x:c r="U140" s="3" t="str">
        <x:f>IF(S140="","",INDEX('2_1일차조편성'!$E$4:$E$56,S140))</x:f>
        <x:v/>
      </x:c>
      <x:c r="V140" s="3" t="str">
        <x:f>IFERROR(IF(VLOOKUP(A140,'4_스코어입력'!$A$4:$K$213,11,FALSE)&lt;=104,"진출",""),"")</x:f>
        <x:v/>
      </x:c>
      <x:c r="W140" s="4"/>
    </x:row>
    <x:row r="141" spans="1:23">
      <x:c r="A141" s="3">
        <x:v>138</x:v>
      </x:c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3" t="str">
        <x:f>IF(AND(L141="완료",N141="완료",O141="완료",P141="완료",Q141="완료"),"완료","확인필요")</x:f>
        <x:v>확인필요</x:v>
      </x:c>
      <x:c r="S141" s="3" t="str">
        <x:f>IF(E141&lt;&gt;"",ROUNDUP(A141/4,0),"")</x:f>
        <x:v/>
      </x:c>
      <x:c r="T141" s="3" t="str">
        <x:f>IF(S141="","",IF(S141&lt;=26,"1부","2부"))</x:f>
        <x:v/>
      </x:c>
      <x:c r="U141" s="3" t="str">
        <x:f>IF(S141="","",INDEX('2_1일차조편성'!$E$4:$E$56,S141))</x:f>
        <x:v/>
      </x:c>
      <x:c r="V141" s="3" t="str">
        <x:f>IFERROR(IF(VLOOKUP(A141,'4_스코어입력'!$A$4:$K$213,11,FALSE)&lt;=104,"진출",""),"")</x:f>
        <x:v/>
      </x:c>
      <x:c r="W141" s="4"/>
    </x:row>
    <x:row r="142" spans="1:23">
      <x:c r="A142" s="3">
        <x:v>139</x:v>
      </x:c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3" t="str">
        <x:f>IF(AND(L142="완료",N142="완료",O142="완료",P142="완료",Q142="완료"),"완료","확인필요")</x:f>
        <x:v>확인필요</x:v>
      </x:c>
      <x:c r="S142" s="3" t="str">
        <x:f>IF(E142&lt;&gt;"",ROUNDUP(A142/4,0),"")</x:f>
        <x:v/>
      </x:c>
      <x:c r="T142" s="3" t="str">
        <x:f>IF(S142="","",IF(S142&lt;=26,"1부","2부"))</x:f>
        <x:v/>
      </x:c>
      <x:c r="U142" s="3" t="str">
        <x:f>IF(S142="","",INDEX('2_1일차조편성'!$E$4:$E$56,S142))</x:f>
        <x:v/>
      </x:c>
      <x:c r="V142" s="3" t="str">
        <x:f>IFERROR(IF(VLOOKUP(A142,'4_스코어입력'!$A$4:$K$213,11,FALSE)&lt;=104,"진출",""),"")</x:f>
        <x:v/>
      </x:c>
      <x:c r="W142" s="4"/>
    </x:row>
    <x:row r="143" spans="1:23">
      <x:c r="A143" s="3">
        <x:v>140</x:v>
      </x:c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3" t="str">
        <x:f>IF(AND(L143="완료",N143="완료",O143="완료",P143="완료",Q143="완료"),"완료","확인필요")</x:f>
        <x:v>확인필요</x:v>
      </x:c>
      <x:c r="S143" s="3" t="str">
        <x:f>IF(E143&lt;&gt;"",ROUNDUP(A143/4,0),"")</x:f>
        <x:v/>
      </x:c>
      <x:c r="T143" s="3" t="str">
        <x:f>IF(S143="","",IF(S143&lt;=26,"1부","2부"))</x:f>
        <x:v/>
      </x:c>
      <x:c r="U143" s="3" t="str">
        <x:f>IF(S143="","",INDEX('2_1일차조편성'!$E$4:$E$56,S143))</x:f>
        <x:v/>
      </x:c>
      <x:c r="V143" s="3" t="str">
        <x:f>IFERROR(IF(VLOOKUP(A143,'4_스코어입력'!$A$4:$K$213,11,FALSE)&lt;=104,"진출",""),"")</x:f>
        <x:v/>
      </x:c>
      <x:c r="W143" s="4"/>
    </x:row>
    <x:row r="144" spans="1:23">
      <x:c r="A144" s="3">
        <x:v>141</x:v>
      </x:c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3" t="str">
        <x:f>IF(AND(L144="완료",N144="완료",O144="완료",P144="완료",Q144="완료"),"완료","확인필요")</x:f>
        <x:v>확인필요</x:v>
      </x:c>
      <x:c r="S144" s="3" t="str">
        <x:f>IF(E144&lt;&gt;"",ROUNDUP(A144/4,0),"")</x:f>
        <x:v/>
      </x:c>
      <x:c r="T144" s="3" t="str">
        <x:f>IF(S144="","",IF(S144&lt;=26,"1부","2부"))</x:f>
        <x:v/>
      </x:c>
      <x:c r="U144" s="3" t="str">
        <x:f>IF(S144="","",INDEX('2_1일차조편성'!$E$4:$E$56,S144))</x:f>
        <x:v/>
      </x:c>
      <x:c r="V144" s="3" t="str">
        <x:f>IFERROR(IF(VLOOKUP(A144,'4_스코어입력'!$A$4:$K$213,11,FALSE)&lt;=104,"진출",""),"")</x:f>
        <x:v/>
      </x:c>
      <x:c r="W144" s="4"/>
    </x:row>
    <x:row r="145" spans="1:23">
      <x:c r="A145" s="3">
        <x:v>142</x:v>
      </x:c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3" t="str">
        <x:f>IF(AND(L145="완료",N145="완료",O145="완료",P145="완료",Q145="완료"),"완료","확인필요")</x:f>
        <x:v>확인필요</x:v>
      </x:c>
      <x:c r="S145" s="3" t="str">
        <x:f>IF(E145&lt;&gt;"",ROUNDUP(A145/4,0),"")</x:f>
        <x:v/>
      </x:c>
      <x:c r="T145" s="3" t="str">
        <x:f>IF(S145="","",IF(S145&lt;=26,"1부","2부"))</x:f>
        <x:v/>
      </x:c>
      <x:c r="U145" s="3" t="str">
        <x:f>IF(S145="","",INDEX('2_1일차조편성'!$E$4:$E$56,S145))</x:f>
        <x:v/>
      </x:c>
      <x:c r="V145" s="3" t="str">
        <x:f>IFERROR(IF(VLOOKUP(A145,'4_스코어입력'!$A$4:$K$213,11,FALSE)&lt;=104,"진출",""),"")</x:f>
        <x:v/>
      </x:c>
      <x:c r="W145" s="4"/>
    </x:row>
    <x:row r="146" spans="1:23">
      <x:c r="A146" s="3">
        <x:v>143</x:v>
      </x:c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3" t="str">
        <x:f>IF(AND(L146="완료",N146="완료",O146="완료",P146="완료",Q146="완료"),"완료","확인필요")</x:f>
        <x:v>확인필요</x:v>
      </x:c>
      <x:c r="S146" s="3" t="str">
        <x:f>IF(E146&lt;&gt;"",ROUNDUP(A146/4,0),"")</x:f>
        <x:v/>
      </x:c>
      <x:c r="T146" s="3" t="str">
        <x:f>IF(S146="","",IF(S146&lt;=26,"1부","2부"))</x:f>
        <x:v/>
      </x:c>
      <x:c r="U146" s="3" t="str">
        <x:f>IF(S146="","",INDEX('2_1일차조편성'!$E$4:$E$56,S146))</x:f>
        <x:v/>
      </x:c>
      <x:c r="V146" s="3" t="str">
        <x:f>IFERROR(IF(VLOOKUP(A146,'4_스코어입력'!$A$4:$K$213,11,FALSE)&lt;=104,"진출",""),"")</x:f>
        <x:v/>
      </x:c>
      <x:c r="W146" s="4"/>
    </x:row>
    <x:row r="147" spans="1:23">
      <x:c r="A147" s="3">
        <x:v>144</x:v>
      </x:c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3" t="str">
        <x:f>IF(AND(L147="완료",N147="완료",O147="완료",P147="완료",Q147="완료"),"완료","확인필요")</x:f>
        <x:v>확인필요</x:v>
      </x:c>
      <x:c r="S147" s="3" t="str">
        <x:f>IF(E147&lt;&gt;"",ROUNDUP(A147/4,0),"")</x:f>
        <x:v/>
      </x:c>
      <x:c r="T147" s="3" t="str">
        <x:f>IF(S147="","",IF(S147&lt;=26,"1부","2부"))</x:f>
        <x:v/>
      </x:c>
      <x:c r="U147" s="3" t="str">
        <x:f>IF(S147="","",INDEX('2_1일차조편성'!$E$4:$E$56,S147))</x:f>
        <x:v/>
      </x:c>
      <x:c r="V147" s="3" t="str">
        <x:f>IFERROR(IF(VLOOKUP(A147,'4_스코어입력'!$A$4:$K$213,11,FALSE)&lt;=104,"진출",""),"")</x:f>
        <x:v/>
      </x:c>
      <x:c r="W147" s="4"/>
    </x:row>
    <x:row r="148" spans="1:23">
      <x:c r="A148" s="3">
        <x:v>145</x:v>
      </x:c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3" t="str">
        <x:f>IF(AND(L148="완료",N148="완료",O148="완료",P148="완료",Q148="완료"),"완료","확인필요")</x:f>
        <x:v>확인필요</x:v>
      </x:c>
      <x:c r="S148" s="3" t="str">
        <x:f>IF(E148&lt;&gt;"",ROUNDUP(A148/4,0),"")</x:f>
        <x:v/>
      </x:c>
      <x:c r="T148" s="3" t="str">
        <x:f>IF(S148="","",IF(S148&lt;=26,"1부","2부"))</x:f>
        <x:v/>
      </x:c>
      <x:c r="U148" s="3" t="str">
        <x:f>IF(S148="","",INDEX('2_1일차조편성'!$E$4:$E$56,S148))</x:f>
        <x:v/>
      </x:c>
      <x:c r="V148" s="3" t="str">
        <x:f>IFERROR(IF(VLOOKUP(A148,'4_스코어입력'!$A$4:$K$213,11,FALSE)&lt;=104,"진출",""),"")</x:f>
        <x:v/>
      </x:c>
      <x:c r="W148" s="4"/>
    </x:row>
    <x:row r="149" spans="1:23">
      <x:c r="A149" s="3">
        <x:v>146</x:v>
      </x:c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3" t="str">
        <x:f>IF(AND(L149="완료",N149="완료",O149="완료",P149="완료",Q149="완료"),"완료","확인필요")</x:f>
        <x:v>확인필요</x:v>
      </x:c>
      <x:c r="S149" s="3" t="str">
        <x:f>IF(E149&lt;&gt;"",ROUNDUP(A149/4,0),"")</x:f>
        <x:v/>
      </x:c>
      <x:c r="T149" s="3" t="str">
        <x:f>IF(S149="","",IF(S149&lt;=26,"1부","2부"))</x:f>
        <x:v/>
      </x:c>
      <x:c r="U149" s="3" t="str">
        <x:f>IF(S149="","",INDEX('2_1일차조편성'!$E$4:$E$56,S149))</x:f>
        <x:v/>
      </x:c>
      <x:c r="V149" s="3" t="str">
        <x:f>IFERROR(IF(VLOOKUP(A149,'4_스코어입력'!$A$4:$K$213,11,FALSE)&lt;=104,"진출",""),"")</x:f>
        <x:v/>
      </x:c>
      <x:c r="W149" s="4"/>
    </x:row>
    <x:row r="150" spans="1:23">
      <x:c r="A150" s="3">
        <x:v>147</x:v>
      </x:c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3" t="str">
        <x:f>IF(AND(L150="완료",N150="완료",O150="완료",P150="완료",Q150="완료"),"완료","확인필요")</x:f>
        <x:v>확인필요</x:v>
      </x:c>
      <x:c r="S150" s="3" t="str">
        <x:f>IF(E150&lt;&gt;"",ROUNDUP(A150/4,0),"")</x:f>
        <x:v/>
      </x:c>
      <x:c r="T150" s="3" t="str">
        <x:f>IF(S150="","",IF(S150&lt;=26,"1부","2부"))</x:f>
        <x:v/>
      </x:c>
      <x:c r="U150" s="3" t="str">
        <x:f>IF(S150="","",INDEX('2_1일차조편성'!$E$4:$E$56,S150))</x:f>
        <x:v/>
      </x:c>
      <x:c r="V150" s="3" t="str">
        <x:f>IFERROR(IF(VLOOKUP(A150,'4_스코어입력'!$A$4:$K$213,11,FALSE)&lt;=104,"진출",""),"")</x:f>
        <x:v/>
      </x:c>
      <x:c r="W150" s="4"/>
    </x:row>
    <x:row r="151" spans="1:23">
      <x:c r="A151" s="3">
        <x:v>148</x:v>
      </x:c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3" t="str">
        <x:f>IF(AND(L151="완료",N151="완료",O151="완료",P151="완료",Q151="완료"),"완료","확인필요")</x:f>
        <x:v>확인필요</x:v>
      </x:c>
      <x:c r="S151" s="3" t="str">
        <x:f>IF(E151&lt;&gt;"",ROUNDUP(A151/4,0),"")</x:f>
        <x:v/>
      </x:c>
      <x:c r="T151" s="3" t="str">
        <x:f>IF(S151="","",IF(S151&lt;=26,"1부","2부"))</x:f>
        <x:v/>
      </x:c>
      <x:c r="U151" s="3" t="str">
        <x:f>IF(S151="","",INDEX('2_1일차조편성'!$E$4:$E$56,S151))</x:f>
        <x:v/>
      </x:c>
      <x:c r="V151" s="3" t="str">
        <x:f>IFERROR(IF(VLOOKUP(A151,'4_스코어입력'!$A$4:$K$213,11,FALSE)&lt;=104,"진출",""),"")</x:f>
        <x:v/>
      </x:c>
      <x:c r="W151" s="4"/>
    </x:row>
    <x:row r="152" spans="1:23">
      <x:c r="A152" s="3">
        <x:v>149</x:v>
      </x:c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3" t="str">
        <x:f>IF(AND(L152="완료",N152="완료",O152="완료",P152="완료",Q152="완료"),"완료","확인필요")</x:f>
        <x:v>확인필요</x:v>
      </x:c>
      <x:c r="S152" s="3" t="str">
        <x:f>IF(E152&lt;&gt;"",ROUNDUP(A152/4,0),"")</x:f>
        <x:v/>
      </x:c>
      <x:c r="T152" s="3" t="str">
        <x:f>IF(S152="","",IF(S152&lt;=26,"1부","2부"))</x:f>
        <x:v/>
      </x:c>
      <x:c r="U152" s="3" t="str">
        <x:f>IF(S152="","",INDEX('2_1일차조편성'!$E$4:$E$56,S152))</x:f>
        <x:v/>
      </x:c>
      <x:c r="V152" s="3" t="str">
        <x:f>IFERROR(IF(VLOOKUP(A152,'4_스코어입력'!$A$4:$K$213,11,FALSE)&lt;=104,"진출",""),"")</x:f>
        <x:v/>
      </x:c>
      <x:c r="W152" s="4"/>
    </x:row>
    <x:row r="153" spans="1:23">
      <x:c r="A153" s="3">
        <x:v>150</x:v>
      </x:c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3" t="str">
        <x:f>IF(AND(L153="완료",N153="완료",O153="완료",P153="완료",Q153="완료"),"완료","확인필요")</x:f>
        <x:v>확인필요</x:v>
      </x:c>
      <x:c r="S153" s="3" t="str">
        <x:f>IF(E153&lt;&gt;"",ROUNDUP(A153/4,0),"")</x:f>
        <x:v/>
      </x:c>
      <x:c r="T153" s="3" t="str">
        <x:f>IF(S153="","",IF(S153&lt;=26,"1부","2부"))</x:f>
        <x:v/>
      </x:c>
      <x:c r="U153" s="3" t="str">
        <x:f>IF(S153="","",INDEX('2_1일차조편성'!$E$4:$E$56,S153))</x:f>
        <x:v/>
      </x:c>
      <x:c r="V153" s="3" t="str">
        <x:f>IFERROR(IF(VLOOKUP(A153,'4_스코어입력'!$A$4:$K$213,11,FALSE)&lt;=104,"진출",""),"")</x:f>
        <x:v/>
      </x:c>
      <x:c r="W153" s="4"/>
    </x:row>
    <x:row r="154" spans="1:23">
      <x:c r="A154" s="3">
        <x:v>151</x:v>
      </x:c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3" t="str">
        <x:f>IF(AND(L154="완료",N154="완료",O154="완료",P154="완료",Q154="완료"),"완료","확인필요")</x:f>
        <x:v>확인필요</x:v>
      </x:c>
      <x:c r="S154" s="3" t="str">
        <x:f>IF(E154&lt;&gt;"",ROUNDUP(A154/4,0),"")</x:f>
        <x:v/>
      </x:c>
      <x:c r="T154" s="3" t="str">
        <x:f>IF(S154="","",IF(S154&lt;=26,"1부","2부"))</x:f>
        <x:v/>
      </x:c>
      <x:c r="U154" s="3" t="str">
        <x:f>IF(S154="","",INDEX('2_1일차조편성'!$E$4:$E$56,S154))</x:f>
        <x:v/>
      </x:c>
      <x:c r="V154" s="3" t="str">
        <x:f>IFERROR(IF(VLOOKUP(A154,'4_스코어입력'!$A$4:$K$213,11,FALSE)&lt;=104,"진출",""),"")</x:f>
        <x:v/>
      </x:c>
      <x:c r="W154" s="4"/>
    </x:row>
    <x:row r="155" spans="1:23">
      <x:c r="A155" s="3">
        <x:v>152</x:v>
      </x:c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3" t="str">
        <x:f>IF(AND(L155="완료",N155="완료",O155="완료",P155="완료",Q155="완료"),"완료","확인필요")</x:f>
        <x:v>확인필요</x:v>
      </x:c>
      <x:c r="S155" s="3" t="str">
        <x:f>IF(E155&lt;&gt;"",ROUNDUP(A155/4,0),"")</x:f>
        <x:v/>
      </x:c>
      <x:c r="T155" s="3" t="str">
        <x:f>IF(S155="","",IF(S155&lt;=26,"1부","2부"))</x:f>
        <x:v/>
      </x:c>
      <x:c r="U155" s="3" t="str">
        <x:f>IF(S155="","",INDEX('2_1일차조편성'!$E$4:$E$56,S155))</x:f>
        <x:v/>
      </x:c>
      <x:c r="V155" s="3" t="str">
        <x:f>IFERROR(IF(VLOOKUP(A155,'4_스코어입력'!$A$4:$K$213,11,FALSE)&lt;=104,"진출",""),"")</x:f>
        <x:v/>
      </x:c>
      <x:c r="W155" s="4"/>
    </x:row>
    <x:row r="156" spans="1:23">
      <x:c r="A156" s="3">
        <x:v>153</x:v>
      </x:c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3" t="str">
        <x:f>IF(AND(L156="완료",N156="완료",O156="완료",P156="완료",Q156="완료"),"완료","확인필요")</x:f>
        <x:v>확인필요</x:v>
      </x:c>
      <x:c r="S156" s="3" t="str">
        <x:f>IF(E156&lt;&gt;"",ROUNDUP(A156/4,0),"")</x:f>
        <x:v/>
      </x:c>
      <x:c r="T156" s="3" t="str">
        <x:f>IF(S156="","",IF(S156&lt;=26,"1부","2부"))</x:f>
        <x:v/>
      </x:c>
      <x:c r="U156" s="3" t="str">
        <x:f>IF(S156="","",INDEX('2_1일차조편성'!$E$4:$E$56,S156))</x:f>
        <x:v/>
      </x:c>
      <x:c r="V156" s="3" t="str">
        <x:f>IFERROR(IF(VLOOKUP(A156,'4_스코어입력'!$A$4:$K$213,11,FALSE)&lt;=104,"진출",""),"")</x:f>
        <x:v/>
      </x:c>
      <x:c r="W156" s="4"/>
    </x:row>
    <x:row r="157" spans="1:23">
      <x:c r="A157" s="3">
        <x:v>154</x:v>
      </x:c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3" t="str">
        <x:f>IF(AND(L157="완료",N157="완료",O157="완료",P157="완료",Q157="완료"),"완료","확인필요")</x:f>
        <x:v>확인필요</x:v>
      </x:c>
      <x:c r="S157" s="3" t="str">
        <x:f>IF(E157&lt;&gt;"",ROUNDUP(A157/4,0),"")</x:f>
        <x:v/>
      </x:c>
      <x:c r="T157" s="3" t="str">
        <x:f>IF(S157="","",IF(S157&lt;=26,"1부","2부"))</x:f>
        <x:v/>
      </x:c>
      <x:c r="U157" s="3" t="str">
        <x:f>IF(S157="","",INDEX('2_1일차조편성'!$E$4:$E$56,S157))</x:f>
        <x:v/>
      </x:c>
      <x:c r="V157" s="3" t="str">
        <x:f>IFERROR(IF(VLOOKUP(A157,'4_스코어입력'!$A$4:$K$213,11,FALSE)&lt;=104,"진출",""),"")</x:f>
        <x:v/>
      </x:c>
      <x:c r="W157" s="4"/>
    </x:row>
    <x:row r="158" spans="1:23">
      <x:c r="A158" s="3">
        <x:v>155</x:v>
      </x:c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3" t="str">
        <x:f>IF(AND(L158="완료",N158="완료",O158="완료",P158="완료",Q158="완료"),"완료","확인필요")</x:f>
        <x:v>확인필요</x:v>
      </x:c>
      <x:c r="S158" s="3" t="str">
        <x:f>IF(E158&lt;&gt;"",ROUNDUP(A158/4,0),"")</x:f>
        <x:v/>
      </x:c>
      <x:c r="T158" s="3" t="str">
        <x:f>IF(S158="","",IF(S158&lt;=26,"1부","2부"))</x:f>
        <x:v/>
      </x:c>
      <x:c r="U158" s="3" t="str">
        <x:f>IF(S158="","",INDEX('2_1일차조편성'!$E$4:$E$56,S158))</x:f>
        <x:v/>
      </x:c>
      <x:c r="V158" s="3" t="str">
        <x:f>IFERROR(IF(VLOOKUP(A158,'4_스코어입력'!$A$4:$K$213,11,FALSE)&lt;=104,"진출",""),"")</x:f>
        <x:v/>
      </x:c>
      <x:c r="W158" s="4"/>
    </x:row>
    <x:row r="159" spans="1:23">
      <x:c r="A159" s="3">
        <x:v>156</x:v>
      </x:c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3" t="str">
        <x:f>IF(AND(L159="완료",N159="완료",O159="완료",P159="완료",Q159="완료"),"완료","확인필요")</x:f>
        <x:v>확인필요</x:v>
      </x:c>
      <x:c r="S159" s="3" t="str">
        <x:f>IF(E159&lt;&gt;"",ROUNDUP(A159/4,0),"")</x:f>
        <x:v/>
      </x:c>
      <x:c r="T159" s="3" t="str">
        <x:f>IF(S159="","",IF(S159&lt;=26,"1부","2부"))</x:f>
        <x:v/>
      </x:c>
      <x:c r="U159" s="3" t="str">
        <x:f>IF(S159="","",INDEX('2_1일차조편성'!$E$4:$E$56,S159))</x:f>
        <x:v/>
      </x:c>
      <x:c r="V159" s="3" t="str">
        <x:f>IFERROR(IF(VLOOKUP(A159,'4_스코어입력'!$A$4:$K$213,11,FALSE)&lt;=104,"진출",""),"")</x:f>
        <x:v/>
      </x:c>
      <x:c r="W159" s="4"/>
    </x:row>
    <x:row r="160" spans="1:23">
      <x:c r="A160" s="3">
        <x:v>157</x:v>
      </x:c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3" t="str">
        <x:f>IF(AND(L160="완료",N160="완료",O160="완료",P160="완료",Q160="완료"),"완료","확인필요")</x:f>
        <x:v>확인필요</x:v>
      </x:c>
      <x:c r="S160" s="3" t="str">
        <x:f>IF(E160&lt;&gt;"",ROUNDUP(A160/4,0),"")</x:f>
        <x:v/>
      </x:c>
      <x:c r="T160" s="3" t="str">
        <x:f>IF(S160="","",IF(S160&lt;=26,"1부","2부"))</x:f>
        <x:v/>
      </x:c>
      <x:c r="U160" s="3" t="str">
        <x:f>IF(S160="","",INDEX('2_1일차조편성'!$E$4:$E$56,S160))</x:f>
        <x:v/>
      </x:c>
      <x:c r="V160" s="3" t="str">
        <x:f>IFERROR(IF(VLOOKUP(A160,'4_스코어입력'!$A$4:$K$213,11,FALSE)&lt;=104,"진출",""),"")</x:f>
        <x:v/>
      </x:c>
      <x:c r="W160" s="4"/>
    </x:row>
    <x:row r="161" spans="1:23">
      <x:c r="A161" s="3">
        <x:v>158</x:v>
      </x:c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3" t="str">
        <x:f>IF(AND(L161="완료",N161="완료",O161="완료",P161="완료",Q161="완료"),"완료","확인필요")</x:f>
        <x:v>확인필요</x:v>
      </x:c>
      <x:c r="S161" s="3" t="str">
        <x:f>IF(E161&lt;&gt;"",ROUNDUP(A161/4,0),"")</x:f>
        <x:v/>
      </x:c>
      <x:c r="T161" s="3" t="str">
        <x:f>IF(S161="","",IF(S161&lt;=26,"1부","2부"))</x:f>
        <x:v/>
      </x:c>
      <x:c r="U161" s="3" t="str">
        <x:f>IF(S161="","",INDEX('2_1일차조편성'!$E$4:$E$56,S161))</x:f>
        <x:v/>
      </x:c>
      <x:c r="V161" s="3" t="str">
        <x:f>IFERROR(IF(VLOOKUP(A161,'4_스코어입력'!$A$4:$K$213,11,FALSE)&lt;=104,"진출",""),"")</x:f>
        <x:v/>
      </x:c>
      <x:c r="W161" s="4"/>
    </x:row>
    <x:row r="162" spans="1:23">
      <x:c r="A162" s="3">
        <x:v>159</x:v>
      </x:c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3" t="str">
        <x:f>IF(AND(L162="완료",N162="완료",O162="완료",P162="완료",Q162="완료"),"완료","확인필요")</x:f>
        <x:v>확인필요</x:v>
      </x:c>
      <x:c r="S162" s="3" t="str">
        <x:f>IF(E162&lt;&gt;"",ROUNDUP(A162/4,0),"")</x:f>
        <x:v/>
      </x:c>
      <x:c r="T162" s="3" t="str">
        <x:f>IF(S162="","",IF(S162&lt;=26,"1부","2부"))</x:f>
        <x:v/>
      </x:c>
      <x:c r="U162" s="3" t="str">
        <x:f>IF(S162="","",INDEX('2_1일차조편성'!$E$4:$E$56,S162))</x:f>
        <x:v/>
      </x:c>
      <x:c r="V162" s="3" t="str">
        <x:f>IFERROR(IF(VLOOKUP(A162,'4_스코어입력'!$A$4:$K$213,11,FALSE)&lt;=104,"진출",""),"")</x:f>
        <x:v/>
      </x:c>
      <x:c r="W162" s="4"/>
    </x:row>
    <x:row r="163" spans="1:23">
      <x:c r="A163" s="3">
        <x:v>160</x:v>
      </x:c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3" t="str">
        <x:f>IF(AND(L163="완료",N163="완료",O163="완료",P163="완료",Q163="완료"),"완료","확인필요")</x:f>
        <x:v>확인필요</x:v>
      </x:c>
      <x:c r="S163" s="3" t="str">
        <x:f>IF(E163&lt;&gt;"",ROUNDUP(A163/4,0),"")</x:f>
        <x:v/>
      </x:c>
      <x:c r="T163" s="3" t="str">
        <x:f>IF(S163="","",IF(S163&lt;=26,"1부","2부"))</x:f>
        <x:v/>
      </x:c>
      <x:c r="U163" s="3" t="str">
        <x:f>IF(S163="","",INDEX('2_1일차조편성'!$E$4:$E$56,S163))</x:f>
        <x:v/>
      </x:c>
      <x:c r="V163" s="3" t="str">
        <x:f>IFERROR(IF(VLOOKUP(A163,'4_스코어입력'!$A$4:$K$213,11,FALSE)&lt;=104,"진출",""),"")</x:f>
        <x:v/>
      </x:c>
      <x:c r="W163" s="4"/>
    </x:row>
    <x:row r="164" spans="1:23">
      <x:c r="A164" s="3">
        <x:v>161</x:v>
      </x:c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3" t="str">
        <x:f>IF(AND(L164="완료",N164="완료",O164="완료",P164="완료",Q164="완료"),"완료","확인필요")</x:f>
        <x:v>확인필요</x:v>
      </x:c>
      <x:c r="S164" s="3" t="str">
        <x:f>IF(E164&lt;&gt;"",ROUNDUP(A164/4,0),"")</x:f>
        <x:v/>
      </x:c>
      <x:c r="T164" s="3" t="str">
        <x:f>IF(S164="","",IF(S164&lt;=26,"1부","2부"))</x:f>
        <x:v/>
      </x:c>
      <x:c r="U164" s="3" t="str">
        <x:f>IF(S164="","",INDEX('2_1일차조편성'!$E$4:$E$56,S164))</x:f>
        <x:v/>
      </x:c>
      <x:c r="V164" s="3" t="str">
        <x:f>IFERROR(IF(VLOOKUP(A164,'4_스코어입력'!$A$4:$K$213,11,FALSE)&lt;=104,"진출",""),"")</x:f>
        <x:v/>
      </x:c>
      <x:c r="W164" s="4"/>
    </x:row>
    <x:row r="165" spans="1:23">
      <x:c r="A165" s="3">
        <x:v>162</x:v>
      </x:c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3" t="str">
        <x:f>IF(AND(L165="완료",N165="완료",O165="완료",P165="완료",Q165="완료"),"완료","확인필요")</x:f>
        <x:v>확인필요</x:v>
      </x:c>
      <x:c r="S165" s="3" t="str">
        <x:f>IF(E165&lt;&gt;"",ROUNDUP(A165/4,0),"")</x:f>
        <x:v/>
      </x:c>
      <x:c r="T165" s="3" t="str">
        <x:f>IF(S165="","",IF(S165&lt;=26,"1부","2부"))</x:f>
        <x:v/>
      </x:c>
      <x:c r="U165" s="3" t="str">
        <x:f>IF(S165="","",INDEX('2_1일차조편성'!$E$4:$E$56,S165))</x:f>
        <x:v/>
      </x:c>
      <x:c r="V165" s="3" t="str">
        <x:f>IFERROR(IF(VLOOKUP(A165,'4_스코어입력'!$A$4:$K$213,11,FALSE)&lt;=104,"진출",""),"")</x:f>
        <x:v/>
      </x:c>
      <x:c r="W165" s="4"/>
    </x:row>
    <x:row r="166" spans="1:23">
      <x:c r="A166" s="3">
        <x:v>163</x:v>
      </x:c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3" t="str">
        <x:f>IF(AND(L166="완료",N166="완료",O166="완료",P166="완료",Q166="완료"),"완료","확인필요")</x:f>
        <x:v>확인필요</x:v>
      </x:c>
      <x:c r="S166" s="3" t="str">
        <x:f>IF(E166&lt;&gt;"",ROUNDUP(A166/4,0),"")</x:f>
        <x:v/>
      </x:c>
      <x:c r="T166" s="3" t="str">
        <x:f>IF(S166="","",IF(S166&lt;=26,"1부","2부"))</x:f>
        <x:v/>
      </x:c>
      <x:c r="U166" s="3" t="str">
        <x:f>IF(S166="","",INDEX('2_1일차조편성'!$E$4:$E$56,S166))</x:f>
        <x:v/>
      </x:c>
      <x:c r="V166" s="3" t="str">
        <x:f>IFERROR(IF(VLOOKUP(A166,'4_스코어입력'!$A$4:$K$213,11,FALSE)&lt;=104,"진출",""),"")</x:f>
        <x:v/>
      </x:c>
      <x:c r="W166" s="4"/>
    </x:row>
    <x:row r="167" spans="1:23">
      <x:c r="A167" s="3">
        <x:v>164</x:v>
      </x:c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3" t="str">
        <x:f>IF(AND(L167="완료",N167="완료",O167="완료",P167="완료",Q167="완료"),"완료","확인필요")</x:f>
        <x:v>확인필요</x:v>
      </x:c>
      <x:c r="S167" s="3" t="str">
        <x:f>IF(E167&lt;&gt;"",ROUNDUP(A167/4,0),"")</x:f>
        <x:v/>
      </x:c>
      <x:c r="T167" s="3" t="str">
        <x:f>IF(S167="","",IF(S167&lt;=26,"1부","2부"))</x:f>
        <x:v/>
      </x:c>
      <x:c r="U167" s="3" t="str">
        <x:f>IF(S167="","",INDEX('2_1일차조편성'!$E$4:$E$56,S167))</x:f>
        <x:v/>
      </x:c>
      <x:c r="V167" s="3" t="str">
        <x:f>IFERROR(IF(VLOOKUP(A167,'4_스코어입력'!$A$4:$K$213,11,FALSE)&lt;=104,"진출",""),"")</x:f>
        <x:v/>
      </x:c>
      <x:c r="W167" s="4"/>
    </x:row>
    <x:row r="168" spans="1:23">
      <x:c r="A168" s="3">
        <x:v>165</x:v>
      </x:c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3" t="str">
        <x:f>IF(AND(L168="완료",N168="완료",O168="완료",P168="완료",Q168="완료"),"완료","확인필요")</x:f>
        <x:v>확인필요</x:v>
      </x:c>
      <x:c r="S168" s="3" t="str">
        <x:f>IF(E168&lt;&gt;"",ROUNDUP(A168/4,0),"")</x:f>
        <x:v/>
      </x:c>
      <x:c r="T168" s="3" t="str">
        <x:f>IF(S168="","",IF(S168&lt;=26,"1부","2부"))</x:f>
        <x:v/>
      </x:c>
      <x:c r="U168" s="3" t="str">
        <x:f>IF(S168="","",INDEX('2_1일차조편성'!$E$4:$E$56,S168))</x:f>
        <x:v/>
      </x:c>
      <x:c r="V168" s="3" t="str">
        <x:f>IFERROR(IF(VLOOKUP(A168,'4_스코어입력'!$A$4:$K$213,11,FALSE)&lt;=104,"진출",""),"")</x:f>
        <x:v/>
      </x:c>
      <x:c r="W168" s="4"/>
    </x:row>
    <x:row r="169" spans="1:23">
      <x:c r="A169" s="3">
        <x:v>166</x:v>
      </x:c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3" t="str">
        <x:f>IF(AND(L169="완료",N169="완료",O169="완료",P169="완료",Q169="완료"),"완료","확인필요")</x:f>
        <x:v>확인필요</x:v>
      </x:c>
      <x:c r="S169" s="3" t="str">
        <x:f>IF(E169&lt;&gt;"",ROUNDUP(A169/4,0),"")</x:f>
        <x:v/>
      </x:c>
      <x:c r="T169" s="3" t="str">
        <x:f>IF(S169="","",IF(S169&lt;=26,"1부","2부"))</x:f>
        <x:v/>
      </x:c>
      <x:c r="U169" s="3" t="str">
        <x:f>IF(S169="","",INDEX('2_1일차조편성'!$E$4:$E$56,S169))</x:f>
        <x:v/>
      </x:c>
      <x:c r="V169" s="3" t="str">
        <x:f>IFERROR(IF(VLOOKUP(A169,'4_스코어입력'!$A$4:$K$213,11,FALSE)&lt;=104,"진출",""),"")</x:f>
        <x:v/>
      </x:c>
      <x:c r="W169" s="4"/>
    </x:row>
    <x:row r="170" spans="1:23">
      <x:c r="A170" s="3">
        <x:v>167</x:v>
      </x:c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3" t="str">
        <x:f>IF(AND(L170="완료",N170="완료",O170="완료",P170="완료",Q170="완료"),"완료","확인필요")</x:f>
        <x:v>확인필요</x:v>
      </x:c>
      <x:c r="S170" s="3" t="str">
        <x:f>IF(E170&lt;&gt;"",ROUNDUP(A170/4,0),"")</x:f>
        <x:v/>
      </x:c>
      <x:c r="T170" s="3" t="str">
        <x:f>IF(S170="","",IF(S170&lt;=26,"1부","2부"))</x:f>
        <x:v/>
      </x:c>
      <x:c r="U170" s="3" t="str">
        <x:f>IF(S170="","",INDEX('2_1일차조편성'!$E$4:$E$56,S170))</x:f>
        <x:v/>
      </x:c>
      <x:c r="V170" s="3" t="str">
        <x:f>IFERROR(IF(VLOOKUP(A170,'4_스코어입력'!$A$4:$K$213,11,FALSE)&lt;=104,"진출",""),"")</x:f>
        <x:v/>
      </x:c>
      <x:c r="W170" s="4"/>
    </x:row>
    <x:row r="171" spans="1:23">
      <x:c r="A171" s="3">
        <x:v>168</x:v>
      </x:c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3" t="str">
        <x:f>IF(AND(L171="완료",N171="완료",O171="완료",P171="완료",Q171="완료"),"완료","확인필요")</x:f>
        <x:v>확인필요</x:v>
      </x:c>
      <x:c r="S171" s="3" t="str">
        <x:f>IF(E171&lt;&gt;"",ROUNDUP(A171/4,0),"")</x:f>
        <x:v/>
      </x:c>
      <x:c r="T171" s="3" t="str">
        <x:f>IF(S171="","",IF(S171&lt;=26,"1부","2부"))</x:f>
        <x:v/>
      </x:c>
      <x:c r="U171" s="3" t="str">
        <x:f>IF(S171="","",INDEX('2_1일차조편성'!$E$4:$E$56,S171))</x:f>
        <x:v/>
      </x:c>
      <x:c r="V171" s="3" t="str">
        <x:f>IFERROR(IF(VLOOKUP(A171,'4_스코어입력'!$A$4:$K$213,11,FALSE)&lt;=104,"진출",""),"")</x:f>
        <x:v/>
      </x:c>
      <x:c r="W171" s="4"/>
    </x:row>
    <x:row r="172" spans="1:23">
      <x:c r="A172" s="3">
        <x:v>169</x:v>
      </x:c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3" t="str">
        <x:f>IF(AND(L172="완료",N172="완료",O172="완료",P172="완료",Q172="완료"),"완료","확인필요")</x:f>
        <x:v>확인필요</x:v>
      </x:c>
      <x:c r="S172" s="3" t="str">
        <x:f>IF(E172&lt;&gt;"",ROUNDUP(A172/4,0),"")</x:f>
        <x:v/>
      </x:c>
      <x:c r="T172" s="3" t="str">
        <x:f>IF(S172="","",IF(S172&lt;=26,"1부","2부"))</x:f>
        <x:v/>
      </x:c>
      <x:c r="U172" s="3" t="str">
        <x:f>IF(S172="","",INDEX('2_1일차조편성'!$E$4:$E$56,S172))</x:f>
        <x:v/>
      </x:c>
      <x:c r="V172" s="3" t="str">
        <x:f>IFERROR(IF(VLOOKUP(A172,'4_스코어입력'!$A$4:$K$213,11,FALSE)&lt;=104,"진출",""),"")</x:f>
        <x:v/>
      </x:c>
      <x:c r="W172" s="4"/>
    </x:row>
    <x:row r="173" spans="1:23">
      <x:c r="A173" s="3">
        <x:v>170</x:v>
      </x:c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3" t="str">
        <x:f>IF(AND(L173="완료",N173="완료",O173="완료",P173="완료",Q173="완료"),"완료","확인필요")</x:f>
        <x:v>확인필요</x:v>
      </x:c>
      <x:c r="S173" s="3" t="str">
        <x:f>IF(E173&lt;&gt;"",ROUNDUP(A173/4,0),"")</x:f>
        <x:v/>
      </x:c>
      <x:c r="T173" s="3" t="str">
        <x:f>IF(S173="","",IF(S173&lt;=26,"1부","2부"))</x:f>
        <x:v/>
      </x:c>
      <x:c r="U173" s="3" t="str">
        <x:f>IF(S173="","",INDEX('2_1일차조편성'!$E$4:$E$56,S173))</x:f>
        <x:v/>
      </x:c>
      <x:c r="V173" s="3" t="str">
        <x:f>IFERROR(IF(VLOOKUP(A173,'4_스코어입력'!$A$4:$K$213,11,FALSE)&lt;=104,"진출",""),"")</x:f>
        <x:v/>
      </x:c>
      <x:c r="W173" s="4"/>
    </x:row>
    <x:row r="174" spans="1:23">
      <x:c r="A174" s="3">
        <x:v>171</x:v>
      </x:c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3" t="str">
        <x:f>IF(AND(L174="완료",N174="완료",O174="완료",P174="완료",Q174="완료"),"완료","확인필요")</x:f>
        <x:v>확인필요</x:v>
      </x:c>
      <x:c r="S174" s="3" t="str">
        <x:f>IF(E174&lt;&gt;"",ROUNDUP(A174/4,0),"")</x:f>
        <x:v/>
      </x:c>
      <x:c r="T174" s="3" t="str">
        <x:f>IF(S174="","",IF(S174&lt;=26,"1부","2부"))</x:f>
        <x:v/>
      </x:c>
      <x:c r="U174" s="3" t="str">
        <x:f>IF(S174="","",INDEX('2_1일차조편성'!$E$4:$E$56,S174))</x:f>
        <x:v/>
      </x:c>
      <x:c r="V174" s="3" t="str">
        <x:f>IFERROR(IF(VLOOKUP(A174,'4_스코어입력'!$A$4:$K$213,11,FALSE)&lt;=104,"진출",""),"")</x:f>
        <x:v/>
      </x:c>
      <x:c r="W174" s="4"/>
    </x:row>
    <x:row r="175" spans="1:23">
      <x:c r="A175" s="3">
        <x:v>172</x:v>
      </x:c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3" t="str">
        <x:f>IF(AND(L175="완료",N175="완료",O175="완료",P175="완료",Q175="완료"),"완료","확인필요")</x:f>
        <x:v>확인필요</x:v>
      </x:c>
      <x:c r="S175" s="3" t="str">
        <x:f>IF(E175&lt;&gt;"",ROUNDUP(A175/4,0),"")</x:f>
        <x:v/>
      </x:c>
      <x:c r="T175" s="3" t="str">
        <x:f>IF(S175="","",IF(S175&lt;=26,"1부","2부"))</x:f>
        <x:v/>
      </x:c>
      <x:c r="U175" s="3" t="str">
        <x:f>IF(S175="","",INDEX('2_1일차조편성'!$E$4:$E$56,S175))</x:f>
        <x:v/>
      </x:c>
      <x:c r="V175" s="3" t="str">
        <x:f>IFERROR(IF(VLOOKUP(A175,'4_스코어입력'!$A$4:$K$213,11,FALSE)&lt;=104,"진출",""),"")</x:f>
        <x:v/>
      </x:c>
      <x:c r="W175" s="4"/>
    </x:row>
    <x:row r="176" spans="1:23">
      <x:c r="A176" s="3">
        <x:v>173</x:v>
      </x:c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3" t="str">
        <x:f>IF(AND(L176="완료",N176="완료",O176="완료",P176="완료",Q176="완료"),"완료","확인필요")</x:f>
        <x:v>확인필요</x:v>
      </x:c>
      <x:c r="S176" s="3" t="str">
        <x:f>IF(E176&lt;&gt;"",ROUNDUP(A176/4,0),"")</x:f>
        <x:v/>
      </x:c>
      <x:c r="T176" s="3" t="str">
        <x:f>IF(S176="","",IF(S176&lt;=26,"1부","2부"))</x:f>
        <x:v/>
      </x:c>
      <x:c r="U176" s="3" t="str">
        <x:f>IF(S176="","",INDEX('2_1일차조편성'!$E$4:$E$56,S176))</x:f>
        <x:v/>
      </x:c>
      <x:c r="V176" s="3" t="str">
        <x:f>IFERROR(IF(VLOOKUP(A176,'4_스코어입력'!$A$4:$K$213,11,FALSE)&lt;=104,"진출",""),"")</x:f>
        <x:v/>
      </x:c>
      <x:c r="W176" s="4"/>
    </x:row>
    <x:row r="177" spans="1:23">
      <x:c r="A177" s="3">
        <x:v>174</x:v>
      </x:c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3" t="str">
        <x:f>IF(AND(L177="완료",N177="완료",O177="완료",P177="완료",Q177="완료"),"완료","확인필요")</x:f>
        <x:v>확인필요</x:v>
      </x:c>
      <x:c r="S177" s="3" t="str">
        <x:f>IF(E177&lt;&gt;"",ROUNDUP(A177/4,0),"")</x:f>
        <x:v/>
      </x:c>
      <x:c r="T177" s="3" t="str">
        <x:f>IF(S177="","",IF(S177&lt;=26,"1부","2부"))</x:f>
        <x:v/>
      </x:c>
      <x:c r="U177" s="3" t="str">
        <x:f>IF(S177="","",INDEX('2_1일차조편성'!$E$4:$E$56,S177))</x:f>
        <x:v/>
      </x:c>
      <x:c r="V177" s="3" t="str">
        <x:f>IFERROR(IF(VLOOKUP(A177,'4_스코어입력'!$A$4:$K$213,11,FALSE)&lt;=104,"진출",""),"")</x:f>
        <x:v/>
      </x:c>
      <x:c r="W177" s="4"/>
    </x:row>
    <x:row r="178" spans="1:23">
      <x:c r="A178" s="3">
        <x:v>175</x:v>
      </x:c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3" t="str">
        <x:f>IF(AND(L178="완료",N178="완료",O178="완료",P178="완료",Q178="완료"),"완료","확인필요")</x:f>
        <x:v>확인필요</x:v>
      </x:c>
      <x:c r="S178" s="3" t="str">
        <x:f>IF(E178&lt;&gt;"",ROUNDUP(A178/4,0),"")</x:f>
        <x:v/>
      </x:c>
      <x:c r="T178" s="3" t="str">
        <x:f>IF(S178="","",IF(S178&lt;=26,"1부","2부"))</x:f>
        <x:v/>
      </x:c>
      <x:c r="U178" s="3" t="str">
        <x:f>IF(S178="","",INDEX('2_1일차조편성'!$E$4:$E$56,S178))</x:f>
        <x:v/>
      </x:c>
      <x:c r="V178" s="3" t="str">
        <x:f>IFERROR(IF(VLOOKUP(A178,'4_스코어입력'!$A$4:$K$213,11,FALSE)&lt;=104,"진출",""),"")</x:f>
        <x:v/>
      </x:c>
      <x:c r="W178" s="4"/>
    </x:row>
    <x:row r="179" spans="1:23">
      <x:c r="A179" s="3">
        <x:v>176</x:v>
      </x:c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3" t="str">
        <x:f>IF(AND(L179="완료",N179="완료",O179="완료",P179="완료",Q179="완료"),"완료","확인필요")</x:f>
        <x:v>확인필요</x:v>
      </x:c>
      <x:c r="S179" s="3" t="str">
        <x:f>IF(E179&lt;&gt;"",ROUNDUP(A179/4,0),"")</x:f>
        <x:v/>
      </x:c>
      <x:c r="T179" s="3" t="str">
        <x:f>IF(S179="","",IF(S179&lt;=26,"1부","2부"))</x:f>
        <x:v/>
      </x:c>
      <x:c r="U179" s="3" t="str">
        <x:f>IF(S179="","",INDEX('2_1일차조편성'!$E$4:$E$56,S179))</x:f>
        <x:v/>
      </x:c>
      <x:c r="V179" s="3" t="str">
        <x:f>IFERROR(IF(VLOOKUP(A179,'4_스코어입력'!$A$4:$K$213,11,FALSE)&lt;=104,"진출",""),"")</x:f>
        <x:v/>
      </x:c>
      <x:c r="W179" s="4"/>
    </x:row>
    <x:row r="180" spans="1:23">
      <x:c r="A180" s="3">
        <x:v>177</x:v>
      </x:c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3" t="str">
        <x:f>IF(AND(L180="완료",N180="완료",O180="완료",P180="완료",Q180="완료"),"완료","확인필요")</x:f>
        <x:v>확인필요</x:v>
      </x:c>
      <x:c r="S180" s="3" t="str">
        <x:f>IF(E180&lt;&gt;"",ROUNDUP(A180/4,0),"")</x:f>
        <x:v/>
      </x:c>
      <x:c r="T180" s="3" t="str">
        <x:f>IF(S180="","",IF(S180&lt;=26,"1부","2부"))</x:f>
        <x:v/>
      </x:c>
      <x:c r="U180" s="3" t="str">
        <x:f>IF(S180="","",INDEX('2_1일차조편성'!$E$4:$E$56,S180))</x:f>
        <x:v/>
      </x:c>
      <x:c r="V180" s="3" t="str">
        <x:f>IFERROR(IF(VLOOKUP(A180,'4_스코어입력'!$A$4:$K$213,11,FALSE)&lt;=104,"진출",""),"")</x:f>
        <x:v/>
      </x:c>
      <x:c r="W180" s="4"/>
    </x:row>
    <x:row r="181" spans="1:23">
      <x:c r="A181" s="3">
        <x:v>178</x:v>
      </x:c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3" t="str">
        <x:f>IF(AND(L181="완료",N181="완료",O181="완료",P181="완료",Q181="완료"),"완료","확인필요")</x:f>
        <x:v>확인필요</x:v>
      </x:c>
      <x:c r="S181" s="3" t="str">
        <x:f>IF(E181&lt;&gt;"",ROUNDUP(A181/4,0),"")</x:f>
        <x:v/>
      </x:c>
      <x:c r="T181" s="3" t="str">
        <x:f>IF(S181="","",IF(S181&lt;=26,"1부","2부"))</x:f>
        <x:v/>
      </x:c>
      <x:c r="U181" s="3" t="str">
        <x:f>IF(S181="","",INDEX('2_1일차조편성'!$E$4:$E$56,S181))</x:f>
        <x:v/>
      </x:c>
      <x:c r="V181" s="3" t="str">
        <x:f>IFERROR(IF(VLOOKUP(A181,'4_스코어입력'!$A$4:$K$213,11,FALSE)&lt;=104,"진출",""),"")</x:f>
        <x:v/>
      </x:c>
      <x:c r="W181" s="4"/>
    </x:row>
    <x:row r="182" spans="1:23">
      <x:c r="A182" s="3">
        <x:v>179</x:v>
      </x:c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3" t="str">
        <x:f>IF(AND(L182="완료",N182="완료",O182="완료",P182="완료",Q182="완료"),"완료","확인필요")</x:f>
        <x:v>확인필요</x:v>
      </x:c>
      <x:c r="S182" s="3" t="str">
        <x:f>IF(E182&lt;&gt;"",ROUNDUP(A182/4,0),"")</x:f>
        <x:v/>
      </x:c>
      <x:c r="T182" s="3" t="str">
        <x:f>IF(S182="","",IF(S182&lt;=26,"1부","2부"))</x:f>
        <x:v/>
      </x:c>
      <x:c r="U182" s="3" t="str">
        <x:f>IF(S182="","",INDEX('2_1일차조편성'!$E$4:$E$56,S182))</x:f>
        <x:v/>
      </x:c>
      <x:c r="V182" s="3" t="str">
        <x:f>IFERROR(IF(VLOOKUP(A182,'4_스코어입력'!$A$4:$K$213,11,FALSE)&lt;=104,"진출",""),"")</x:f>
        <x:v/>
      </x:c>
      <x:c r="W182" s="4"/>
    </x:row>
    <x:row r="183" spans="1:23">
      <x:c r="A183" s="3">
        <x:v>180</x:v>
      </x:c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3" t="str">
        <x:f>IF(AND(L183="완료",N183="완료",O183="완료",P183="완료",Q183="완료"),"완료","확인필요")</x:f>
        <x:v>확인필요</x:v>
      </x:c>
      <x:c r="S183" s="3" t="str">
        <x:f>IF(E183&lt;&gt;"",ROUNDUP(A183/4,0),"")</x:f>
        <x:v/>
      </x:c>
      <x:c r="T183" s="3" t="str">
        <x:f>IF(S183="","",IF(S183&lt;=26,"1부","2부"))</x:f>
        <x:v/>
      </x:c>
      <x:c r="U183" s="3" t="str">
        <x:f>IF(S183="","",INDEX('2_1일차조편성'!$E$4:$E$56,S183))</x:f>
        <x:v/>
      </x:c>
      <x:c r="V183" s="3" t="str">
        <x:f>IFERROR(IF(VLOOKUP(A183,'4_스코어입력'!$A$4:$K$213,11,FALSE)&lt;=104,"진출",""),"")</x:f>
        <x:v/>
      </x:c>
      <x:c r="W183" s="4"/>
    </x:row>
    <x:row r="184" spans="1:23">
      <x:c r="A184" s="3">
        <x:v>181</x:v>
      </x:c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3" t="str">
        <x:f>IF(AND(L184="완료",N184="완료",O184="완료",P184="완료",Q184="완료"),"완료","확인필요")</x:f>
        <x:v>확인필요</x:v>
      </x:c>
      <x:c r="S184" s="3" t="str">
        <x:f>IF(E184&lt;&gt;"",ROUNDUP(A184/4,0),"")</x:f>
        <x:v/>
      </x:c>
      <x:c r="T184" s="3" t="str">
        <x:f>IF(S184="","",IF(S184&lt;=26,"1부","2부"))</x:f>
        <x:v/>
      </x:c>
      <x:c r="U184" s="3" t="str">
        <x:f>IF(S184="","",INDEX('2_1일차조편성'!$E$4:$E$56,S184))</x:f>
        <x:v/>
      </x:c>
      <x:c r="V184" s="3" t="str">
        <x:f>IFERROR(IF(VLOOKUP(A184,'4_스코어입력'!$A$4:$K$213,11,FALSE)&lt;=104,"진출",""),"")</x:f>
        <x:v/>
      </x:c>
      <x:c r="W184" s="4"/>
    </x:row>
    <x:row r="185" spans="1:23">
      <x:c r="A185" s="3">
        <x:v>182</x:v>
      </x:c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3" t="str">
        <x:f>IF(AND(L185="완료",N185="완료",O185="완료",P185="완료",Q185="완료"),"완료","확인필요")</x:f>
        <x:v>확인필요</x:v>
      </x:c>
      <x:c r="S185" s="3" t="str">
        <x:f>IF(E185&lt;&gt;"",ROUNDUP(A185/4,0),"")</x:f>
        <x:v/>
      </x:c>
      <x:c r="T185" s="3" t="str">
        <x:f>IF(S185="","",IF(S185&lt;=26,"1부","2부"))</x:f>
        <x:v/>
      </x:c>
      <x:c r="U185" s="3" t="str">
        <x:f>IF(S185="","",INDEX('2_1일차조편성'!$E$4:$E$56,S185))</x:f>
        <x:v/>
      </x:c>
      <x:c r="V185" s="3" t="str">
        <x:f>IFERROR(IF(VLOOKUP(A185,'4_스코어입력'!$A$4:$K$213,11,FALSE)&lt;=104,"진출",""),"")</x:f>
        <x:v/>
      </x:c>
      <x:c r="W185" s="4"/>
    </x:row>
    <x:row r="186" spans="1:23">
      <x:c r="A186" s="3">
        <x:v>183</x:v>
      </x:c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3" t="str">
        <x:f>IF(AND(L186="완료",N186="완료",O186="완료",P186="완료",Q186="완료"),"완료","확인필요")</x:f>
        <x:v>확인필요</x:v>
      </x:c>
      <x:c r="S186" s="3" t="str">
        <x:f>IF(E186&lt;&gt;"",ROUNDUP(A186/4,0),"")</x:f>
        <x:v/>
      </x:c>
      <x:c r="T186" s="3" t="str">
        <x:f>IF(S186="","",IF(S186&lt;=26,"1부","2부"))</x:f>
        <x:v/>
      </x:c>
      <x:c r="U186" s="3" t="str">
        <x:f>IF(S186="","",INDEX('2_1일차조편성'!$E$4:$E$56,S186))</x:f>
        <x:v/>
      </x:c>
      <x:c r="V186" s="3" t="str">
        <x:f>IFERROR(IF(VLOOKUP(A186,'4_스코어입력'!$A$4:$K$213,11,FALSE)&lt;=104,"진출",""),"")</x:f>
        <x:v/>
      </x:c>
      <x:c r="W186" s="4"/>
    </x:row>
    <x:row r="187" spans="1:23">
      <x:c r="A187" s="3">
        <x:v>184</x:v>
      </x:c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3" t="str">
        <x:f>IF(AND(L187="완료",N187="완료",O187="완료",P187="완료",Q187="완료"),"완료","확인필요")</x:f>
        <x:v>확인필요</x:v>
      </x:c>
      <x:c r="S187" s="3" t="str">
        <x:f>IF(E187&lt;&gt;"",ROUNDUP(A187/4,0),"")</x:f>
        <x:v/>
      </x:c>
      <x:c r="T187" s="3" t="str">
        <x:f>IF(S187="","",IF(S187&lt;=26,"1부","2부"))</x:f>
        <x:v/>
      </x:c>
      <x:c r="U187" s="3" t="str">
        <x:f>IF(S187="","",INDEX('2_1일차조편성'!$E$4:$E$56,S187))</x:f>
        <x:v/>
      </x:c>
      <x:c r="V187" s="3" t="str">
        <x:f>IFERROR(IF(VLOOKUP(A187,'4_스코어입력'!$A$4:$K$213,11,FALSE)&lt;=104,"진출",""),"")</x:f>
        <x:v/>
      </x:c>
      <x:c r="W187" s="4"/>
    </x:row>
    <x:row r="188" spans="1:23">
      <x:c r="A188" s="3">
        <x:v>185</x:v>
      </x:c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3" t="str">
        <x:f>IF(AND(L188="완료",N188="완료",O188="완료",P188="완료",Q188="완료"),"완료","확인필요")</x:f>
        <x:v>확인필요</x:v>
      </x:c>
      <x:c r="S188" s="3" t="str">
        <x:f>IF(E188&lt;&gt;"",ROUNDUP(A188/4,0),"")</x:f>
        <x:v/>
      </x:c>
      <x:c r="T188" s="3" t="str">
        <x:f>IF(S188="","",IF(S188&lt;=26,"1부","2부"))</x:f>
        <x:v/>
      </x:c>
      <x:c r="U188" s="3" t="str">
        <x:f>IF(S188="","",INDEX('2_1일차조편성'!$E$4:$E$56,S188))</x:f>
        <x:v/>
      </x:c>
      <x:c r="V188" s="3" t="str">
        <x:f>IFERROR(IF(VLOOKUP(A188,'4_스코어입력'!$A$4:$K$213,11,FALSE)&lt;=104,"진출",""),"")</x:f>
        <x:v/>
      </x:c>
      <x:c r="W188" s="4"/>
    </x:row>
    <x:row r="189" spans="1:23">
      <x:c r="A189" s="3">
        <x:v>186</x:v>
      </x:c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3" t="str">
        <x:f>IF(AND(L189="완료",N189="완료",O189="완료",P189="완료",Q189="완료"),"완료","확인필요")</x:f>
        <x:v>확인필요</x:v>
      </x:c>
      <x:c r="S189" s="3" t="str">
        <x:f>IF(E189&lt;&gt;"",ROUNDUP(A189/4,0),"")</x:f>
        <x:v/>
      </x:c>
      <x:c r="T189" s="3" t="str">
        <x:f>IF(S189="","",IF(S189&lt;=26,"1부","2부"))</x:f>
        <x:v/>
      </x:c>
      <x:c r="U189" s="3" t="str">
        <x:f>IF(S189="","",INDEX('2_1일차조편성'!$E$4:$E$56,S189))</x:f>
        <x:v/>
      </x:c>
      <x:c r="V189" s="3" t="str">
        <x:f>IFERROR(IF(VLOOKUP(A189,'4_스코어입력'!$A$4:$K$213,11,FALSE)&lt;=104,"진출",""),"")</x:f>
        <x:v/>
      </x:c>
      <x:c r="W189" s="4"/>
    </x:row>
    <x:row r="190" spans="1:23">
      <x:c r="A190" s="3">
        <x:v>187</x:v>
      </x:c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3" t="str">
        <x:f>IF(AND(L190="완료",N190="완료",O190="완료",P190="완료",Q190="완료"),"완료","확인필요")</x:f>
        <x:v>확인필요</x:v>
      </x:c>
      <x:c r="S190" s="3" t="str">
        <x:f>IF(E190&lt;&gt;"",ROUNDUP(A190/4,0),"")</x:f>
        <x:v/>
      </x:c>
      <x:c r="T190" s="3" t="str">
        <x:f>IF(S190="","",IF(S190&lt;=26,"1부","2부"))</x:f>
        <x:v/>
      </x:c>
      <x:c r="U190" s="3" t="str">
        <x:f>IF(S190="","",INDEX('2_1일차조편성'!$E$4:$E$56,S190))</x:f>
        <x:v/>
      </x:c>
      <x:c r="V190" s="3" t="str">
        <x:f>IFERROR(IF(VLOOKUP(A190,'4_스코어입력'!$A$4:$K$213,11,FALSE)&lt;=104,"진출",""),"")</x:f>
        <x:v/>
      </x:c>
      <x:c r="W190" s="4"/>
    </x:row>
    <x:row r="191" spans="1:23">
      <x:c r="A191" s="3">
        <x:v>188</x:v>
      </x:c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3" t="str">
        <x:f>IF(AND(L191="완료",N191="완료",O191="완료",P191="완료",Q191="완료"),"완료","확인필요")</x:f>
        <x:v>확인필요</x:v>
      </x:c>
      <x:c r="S191" s="3" t="str">
        <x:f>IF(E191&lt;&gt;"",ROUNDUP(A191/4,0),"")</x:f>
        <x:v/>
      </x:c>
      <x:c r="T191" s="3" t="str">
        <x:f>IF(S191="","",IF(S191&lt;=26,"1부","2부"))</x:f>
        <x:v/>
      </x:c>
      <x:c r="U191" s="3" t="str">
        <x:f>IF(S191="","",INDEX('2_1일차조편성'!$E$4:$E$56,S191))</x:f>
        <x:v/>
      </x:c>
      <x:c r="V191" s="3" t="str">
        <x:f>IFERROR(IF(VLOOKUP(A191,'4_스코어입력'!$A$4:$K$213,11,FALSE)&lt;=104,"진출",""),"")</x:f>
        <x:v/>
      </x:c>
      <x:c r="W191" s="4"/>
    </x:row>
    <x:row r="192" spans="1:23">
      <x:c r="A192" s="3">
        <x:v>189</x:v>
      </x:c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3" t="str">
        <x:f>IF(AND(L192="완료",N192="완료",O192="완료",P192="완료",Q192="완료"),"완료","확인필요")</x:f>
        <x:v>확인필요</x:v>
      </x:c>
      <x:c r="S192" s="3" t="str">
        <x:f>IF(E192&lt;&gt;"",ROUNDUP(A192/4,0),"")</x:f>
        <x:v/>
      </x:c>
      <x:c r="T192" s="3" t="str">
        <x:f>IF(S192="","",IF(S192&lt;=26,"1부","2부"))</x:f>
        <x:v/>
      </x:c>
      <x:c r="U192" s="3" t="str">
        <x:f>IF(S192="","",INDEX('2_1일차조편성'!$E$4:$E$56,S192))</x:f>
        <x:v/>
      </x:c>
      <x:c r="V192" s="3" t="str">
        <x:f>IFERROR(IF(VLOOKUP(A192,'4_스코어입력'!$A$4:$K$213,11,FALSE)&lt;=104,"진출",""),"")</x:f>
        <x:v/>
      </x:c>
      <x:c r="W192" s="4"/>
    </x:row>
    <x:row r="193" spans="1:23">
      <x:c r="A193" s="3">
        <x:v>190</x:v>
      </x:c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3" t="str">
        <x:f>IF(AND(L193="완료",N193="완료",O193="완료",P193="완료",Q193="완료"),"완료","확인필요")</x:f>
        <x:v>확인필요</x:v>
      </x:c>
      <x:c r="S193" s="3" t="str">
        <x:f>IF(E193&lt;&gt;"",ROUNDUP(A193/4,0),"")</x:f>
        <x:v/>
      </x:c>
      <x:c r="T193" s="3" t="str">
        <x:f>IF(S193="","",IF(S193&lt;=26,"1부","2부"))</x:f>
        <x:v/>
      </x:c>
      <x:c r="U193" s="3" t="str">
        <x:f>IF(S193="","",INDEX('2_1일차조편성'!$E$4:$E$56,S193))</x:f>
        <x:v/>
      </x:c>
      <x:c r="V193" s="3" t="str">
        <x:f>IFERROR(IF(VLOOKUP(A193,'4_스코어입력'!$A$4:$K$213,11,FALSE)&lt;=104,"진출",""),"")</x:f>
        <x:v/>
      </x:c>
      <x:c r="W193" s="4"/>
    </x:row>
    <x:row r="194" spans="1:23">
      <x:c r="A194" s="3">
        <x:v>191</x:v>
      </x:c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3" t="str">
        <x:f>IF(AND(L194="완료",N194="완료",O194="완료",P194="완료",Q194="완료"),"완료","확인필요")</x:f>
        <x:v>확인필요</x:v>
      </x:c>
      <x:c r="S194" s="3" t="str">
        <x:f>IF(E194&lt;&gt;"",ROUNDUP(A194/4,0),"")</x:f>
        <x:v/>
      </x:c>
      <x:c r="T194" s="3" t="str">
        <x:f>IF(S194="","",IF(S194&lt;=26,"1부","2부"))</x:f>
        <x:v/>
      </x:c>
      <x:c r="U194" s="3" t="str">
        <x:f>IF(S194="","",INDEX('2_1일차조편성'!$E$4:$E$56,S194))</x:f>
        <x:v/>
      </x:c>
      <x:c r="V194" s="3" t="str">
        <x:f>IFERROR(IF(VLOOKUP(A194,'4_스코어입력'!$A$4:$K$213,11,FALSE)&lt;=104,"진출",""),"")</x:f>
        <x:v/>
      </x:c>
      <x:c r="W194" s="4"/>
    </x:row>
    <x:row r="195" spans="1:23">
      <x:c r="A195" s="3">
        <x:v>192</x:v>
      </x:c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3" t="str">
        <x:f>IF(AND(L195="완료",N195="완료",O195="완료",P195="완료",Q195="완료"),"완료","확인필요")</x:f>
        <x:v>확인필요</x:v>
      </x:c>
      <x:c r="S195" s="3" t="str">
        <x:f>IF(E195&lt;&gt;"",ROUNDUP(A195/4,0),"")</x:f>
        <x:v/>
      </x:c>
      <x:c r="T195" s="3" t="str">
        <x:f>IF(S195="","",IF(S195&lt;=26,"1부","2부"))</x:f>
        <x:v/>
      </x:c>
      <x:c r="U195" s="3" t="str">
        <x:f>IF(S195="","",INDEX('2_1일차조편성'!$E$4:$E$56,S195))</x:f>
        <x:v/>
      </x:c>
      <x:c r="V195" s="3" t="str">
        <x:f>IFERROR(IF(VLOOKUP(A195,'4_스코어입력'!$A$4:$K$213,11,FALSE)&lt;=104,"진출",""),"")</x:f>
        <x:v/>
      </x:c>
      <x:c r="W195" s="4"/>
    </x:row>
    <x:row r="196" spans="1:23">
      <x:c r="A196" s="3">
        <x:v>193</x:v>
      </x:c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3" t="str">
        <x:f>IF(AND(L196="완료",N196="완료",O196="완료",P196="완료",Q196="완료"),"완료","확인필요")</x:f>
        <x:v>확인필요</x:v>
      </x:c>
      <x:c r="S196" s="3" t="str">
        <x:f>IF(E196&lt;&gt;"",ROUNDUP(A196/4,0),"")</x:f>
        <x:v/>
      </x:c>
      <x:c r="T196" s="3" t="str">
        <x:f>IF(S196="","",IF(S196&lt;=26,"1부","2부"))</x:f>
        <x:v/>
      </x:c>
      <x:c r="U196" s="3" t="str">
        <x:f>IF(S196="","",INDEX('2_1일차조편성'!$E$4:$E$56,S196))</x:f>
        <x:v/>
      </x:c>
      <x:c r="V196" s="3" t="str">
        <x:f>IFERROR(IF(VLOOKUP(A196,'4_스코어입력'!$A$4:$K$213,11,FALSE)&lt;=104,"진출",""),"")</x:f>
        <x:v/>
      </x:c>
      <x:c r="W196" s="4"/>
    </x:row>
    <x:row r="197" spans="1:23">
      <x:c r="A197" s="3">
        <x:v>194</x:v>
      </x:c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3" t="str">
        <x:f>IF(AND(L197="완료",N197="완료",O197="완료",P197="완료",Q197="완료"),"완료","확인필요")</x:f>
        <x:v>확인필요</x:v>
      </x:c>
      <x:c r="S197" s="3" t="str">
        <x:f>IF(E197&lt;&gt;"",ROUNDUP(A197/4,0),"")</x:f>
        <x:v/>
      </x:c>
      <x:c r="T197" s="3" t="str">
        <x:f>IF(S197="","",IF(S197&lt;=26,"1부","2부"))</x:f>
        <x:v/>
      </x:c>
      <x:c r="U197" s="3" t="str">
        <x:f>IF(S197="","",INDEX('2_1일차조편성'!$E$4:$E$56,S197))</x:f>
        <x:v/>
      </x:c>
      <x:c r="V197" s="3" t="str">
        <x:f>IFERROR(IF(VLOOKUP(A197,'4_스코어입력'!$A$4:$K$213,11,FALSE)&lt;=104,"진출",""),"")</x:f>
        <x:v/>
      </x:c>
      <x:c r="W197" s="4"/>
    </x:row>
    <x:row r="198" spans="1:23">
      <x:c r="A198" s="3">
        <x:v>195</x:v>
      </x:c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3" t="str">
        <x:f>IF(AND(L198="완료",N198="완료",O198="완료",P198="완료",Q198="완료"),"완료","확인필요")</x:f>
        <x:v>확인필요</x:v>
      </x:c>
      <x:c r="S198" s="3" t="str">
        <x:f>IF(E198&lt;&gt;"",ROUNDUP(A198/4,0),"")</x:f>
        <x:v/>
      </x:c>
      <x:c r="T198" s="3" t="str">
        <x:f>IF(S198="","",IF(S198&lt;=26,"1부","2부"))</x:f>
        <x:v/>
      </x:c>
      <x:c r="U198" s="3" t="str">
        <x:f>IF(S198="","",INDEX('2_1일차조편성'!$E$4:$E$56,S198))</x:f>
        <x:v/>
      </x:c>
      <x:c r="V198" s="3" t="str">
        <x:f>IFERROR(IF(VLOOKUP(A198,'4_스코어입력'!$A$4:$K$213,11,FALSE)&lt;=104,"진출",""),"")</x:f>
        <x:v/>
      </x:c>
      <x:c r="W198" s="4"/>
    </x:row>
    <x:row r="199" spans="1:23">
      <x:c r="A199" s="3">
        <x:v>196</x:v>
      </x:c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3" t="str">
        <x:f>IF(AND(L199="완료",N199="완료",O199="완료",P199="완료",Q199="완료"),"완료","확인필요")</x:f>
        <x:v>확인필요</x:v>
      </x:c>
      <x:c r="S199" s="3" t="str">
        <x:f>IF(E199&lt;&gt;"",ROUNDUP(A199/4,0),"")</x:f>
        <x:v/>
      </x:c>
      <x:c r="T199" s="3" t="str">
        <x:f>IF(S199="","",IF(S199&lt;=26,"1부","2부"))</x:f>
        <x:v/>
      </x:c>
      <x:c r="U199" s="3" t="str">
        <x:f>IF(S199="","",INDEX('2_1일차조편성'!$E$4:$E$56,S199))</x:f>
        <x:v/>
      </x:c>
      <x:c r="V199" s="3" t="str">
        <x:f>IFERROR(IF(VLOOKUP(A199,'4_스코어입력'!$A$4:$K$213,11,FALSE)&lt;=104,"진출",""),"")</x:f>
        <x:v/>
      </x:c>
      <x:c r="W199" s="4"/>
    </x:row>
    <x:row r="200" spans="1:23">
      <x:c r="A200" s="3">
        <x:v>197</x:v>
      </x:c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3" t="str">
        <x:f>IF(AND(L200="완료",N200="완료",O200="완료",P200="완료",Q200="완료"),"완료","확인필요")</x:f>
        <x:v>확인필요</x:v>
      </x:c>
      <x:c r="S200" s="3" t="str">
        <x:f>IF(E200&lt;&gt;"",ROUNDUP(A200/4,0),"")</x:f>
        <x:v/>
      </x:c>
      <x:c r="T200" s="3" t="str">
        <x:f>IF(S200="","",IF(S200&lt;=26,"1부","2부"))</x:f>
        <x:v/>
      </x:c>
      <x:c r="U200" s="3" t="str">
        <x:f>IF(S200="","",INDEX('2_1일차조편성'!$E$4:$E$56,S200))</x:f>
        <x:v/>
      </x:c>
      <x:c r="V200" s="3" t="str">
        <x:f>IFERROR(IF(VLOOKUP(A200,'4_스코어입력'!$A$4:$K$213,11,FALSE)&lt;=104,"진출",""),"")</x:f>
        <x:v/>
      </x:c>
      <x:c r="W200" s="4"/>
    </x:row>
    <x:row r="201" spans="1:23">
      <x:c r="A201" s="3">
        <x:v>198</x:v>
      </x:c>
      <x:c r="B201" s="4"/>
      <x:c r="C201" s="4"/>
      <x:c r="D201" s="4"/>
      <x:c r="E201" s="4"/>
      <x:c r="F201" s="4"/>
      <x:c r="G201" s="4"/>
      <x:c r="H201" s="4"/>
      <x:c r="I201" s="4"/>
      <x:c r="J201" s="4"/>
      <x:c r="K201" s="4"/>
      <x:c r="L201" s="4"/>
      <x:c r="M201" s="4"/>
      <x:c r="N201" s="4"/>
      <x:c r="O201" s="4"/>
      <x:c r="P201" s="4"/>
      <x:c r="Q201" s="4"/>
      <x:c r="R201" s="3" t="str">
        <x:f>IF(AND(L201="완료",N201="완료",O201="완료",P201="완료",Q201="완료"),"완료","확인필요")</x:f>
        <x:v>확인필요</x:v>
      </x:c>
      <x:c r="S201" s="3" t="str">
        <x:f>IF(E201&lt;&gt;"",ROUNDUP(A201/4,0),"")</x:f>
        <x:v/>
      </x:c>
      <x:c r="T201" s="3" t="str">
        <x:f>IF(S201="","",IF(S201&lt;=26,"1부","2부"))</x:f>
        <x:v/>
      </x:c>
      <x:c r="U201" s="3" t="str">
        <x:f>IF(S201="","",INDEX('2_1일차조편성'!$E$4:$E$56,S201))</x:f>
        <x:v/>
      </x:c>
      <x:c r="V201" s="3" t="str">
        <x:f>IFERROR(IF(VLOOKUP(A201,'4_스코어입력'!$A$4:$K$213,11,FALSE)&lt;=104,"진출",""),"")</x:f>
        <x:v/>
      </x:c>
      <x:c r="W201" s="4"/>
    </x:row>
    <x:row r="202" spans="1:23">
      <x:c r="A202" s="3">
        <x:v>199</x:v>
      </x:c>
      <x:c r="B202" s="4"/>
      <x:c r="C202" s="4"/>
      <x:c r="D202" s="4"/>
      <x:c r="E202" s="4"/>
      <x:c r="F202" s="4"/>
      <x:c r="G202" s="4"/>
      <x:c r="H202" s="4"/>
      <x:c r="I202" s="4"/>
      <x:c r="J202" s="4"/>
      <x:c r="K202" s="4"/>
      <x:c r="L202" s="4"/>
      <x:c r="M202" s="4"/>
      <x:c r="N202" s="4"/>
      <x:c r="O202" s="4"/>
      <x:c r="P202" s="4"/>
      <x:c r="Q202" s="4"/>
      <x:c r="R202" s="3" t="str">
        <x:f>IF(AND(L202="완료",N202="완료",O202="완료",P202="완료",Q202="완료"),"완료","확인필요")</x:f>
        <x:v>확인필요</x:v>
      </x:c>
      <x:c r="S202" s="3" t="str">
        <x:f>IF(E202&lt;&gt;"",ROUNDUP(A202/4,0),"")</x:f>
        <x:v/>
      </x:c>
      <x:c r="T202" s="3" t="str">
        <x:f>IF(S202="","",IF(S202&lt;=26,"1부","2부"))</x:f>
        <x:v/>
      </x:c>
      <x:c r="U202" s="3" t="str">
        <x:f>IF(S202="","",INDEX('2_1일차조편성'!$E$4:$E$56,S202))</x:f>
        <x:v/>
      </x:c>
      <x:c r="V202" s="3" t="str">
        <x:f>IFERROR(IF(VLOOKUP(A202,'4_스코어입력'!$A$4:$K$213,11,FALSE)&lt;=104,"진출",""),"")</x:f>
        <x:v/>
      </x:c>
      <x:c r="W202" s="4"/>
    </x:row>
    <x:row r="203" spans="1:23">
      <x:c r="A203" s="3">
        <x:v>200</x:v>
      </x:c>
      <x:c r="B203" s="4"/>
      <x:c r="C203" s="4"/>
      <x:c r="D203" s="4"/>
      <x:c r="E203" s="4"/>
      <x:c r="F203" s="4"/>
      <x:c r="G203" s="4"/>
      <x:c r="H203" s="4"/>
      <x:c r="I203" s="4"/>
      <x:c r="J203" s="4"/>
      <x:c r="K203" s="4"/>
      <x:c r="L203" s="4"/>
      <x:c r="M203" s="4"/>
      <x:c r="N203" s="4"/>
      <x:c r="O203" s="4"/>
      <x:c r="P203" s="4"/>
      <x:c r="Q203" s="4"/>
      <x:c r="R203" s="3" t="str">
        <x:f>IF(AND(L203="완료",N203="완료",O203="완료",P203="완료",Q203="완료"),"완료","확인필요")</x:f>
        <x:v>확인필요</x:v>
      </x:c>
      <x:c r="S203" s="3" t="str">
        <x:f>IF(E203&lt;&gt;"",ROUNDUP(A203/4,0),"")</x:f>
        <x:v/>
      </x:c>
      <x:c r="T203" s="3" t="str">
        <x:f>IF(S203="","",IF(S203&lt;=26,"1부","2부"))</x:f>
        <x:v/>
      </x:c>
      <x:c r="U203" s="3" t="str">
        <x:f>IF(S203="","",INDEX('2_1일차조편성'!$E$4:$E$56,S203))</x:f>
        <x:v/>
      </x:c>
      <x:c r="V203" s="3" t="str">
        <x:f>IFERROR(IF(VLOOKUP(A203,'4_스코어입력'!$A$4:$K$213,11,FALSE)&lt;=104,"진출",""),"")</x:f>
        <x:v/>
      </x:c>
      <x:c r="W203" s="4"/>
    </x:row>
    <x:row r="204" spans="1:23">
      <x:c r="A204" s="3">
        <x:v>201</x:v>
      </x:c>
      <x:c r="B204" s="4"/>
      <x:c r="C204" s="4"/>
      <x:c r="D204" s="4"/>
      <x:c r="E204" s="4"/>
      <x:c r="F204" s="4"/>
      <x:c r="G204" s="4"/>
      <x:c r="H204" s="4"/>
      <x:c r="I204" s="4"/>
      <x:c r="J204" s="4"/>
      <x:c r="K204" s="4"/>
      <x:c r="L204" s="4"/>
      <x:c r="M204" s="4"/>
      <x:c r="N204" s="4"/>
      <x:c r="O204" s="4"/>
      <x:c r="P204" s="4"/>
      <x:c r="Q204" s="4"/>
      <x:c r="R204" s="3" t="str">
        <x:f>IF(AND(L204="완료",N204="완료",O204="완료",P204="완료",Q204="완료"),"완료","확인필요")</x:f>
        <x:v>확인필요</x:v>
      </x:c>
      <x:c r="S204" s="3" t="str">
        <x:f>IF(E204&lt;&gt;"",ROUNDUP(A204/4,0),"")</x:f>
        <x:v/>
      </x:c>
      <x:c r="T204" s="3" t="str">
        <x:f>IF(S204="","",IF(S204&lt;=26,"1부","2부"))</x:f>
        <x:v/>
      </x:c>
      <x:c r="U204" s="3" t="str">
        <x:f>IF(S204="","",INDEX('2_1일차조편성'!$E$4:$E$56,S204))</x:f>
        <x:v/>
      </x:c>
      <x:c r="V204" s="3" t="str">
        <x:f>IFERROR(IF(VLOOKUP(A204,'4_스코어입력'!$A$4:$K$213,11,FALSE)&lt;=104,"진출",""),"")</x:f>
        <x:v/>
      </x:c>
      <x:c r="W204" s="4"/>
    </x:row>
    <x:row r="205" spans="1:23">
      <x:c r="A205" s="3">
        <x:v>202</x:v>
      </x:c>
      <x:c r="B205" s="4"/>
      <x:c r="C205" s="4"/>
      <x:c r="D205" s="4"/>
      <x:c r="E205" s="4"/>
      <x:c r="F205" s="4"/>
      <x:c r="G205" s="4"/>
      <x:c r="H205" s="4"/>
      <x:c r="I205" s="4"/>
      <x:c r="J205" s="4"/>
      <x:c r="K205" s="4"/>
      <x:c r="L205" s="4"/>
      <x:c r="M205" s="4"/>
      <x:c r="N205" s="4"/>
      <x:c r="O205" s="4"/>
      <x:c r="P205" s="4"/>
      <x:c r="Q205" s="4"/>
      <x:c r="R205" s="3" t="str">
        <x:f>IF(AND(L205="완료",N205="완료",O205="완료",P205="완료",Q205="완료"),"완료","확인필요")</x:f>
        <x:v>확인필요</x:v>
      </x:c>
      <x:c r="S205" s="3" t="str">
        <x:f>IF(E205&lt;&gt;"",ROUNDUP(A205/4,0),"")</x:f>
        <x:v/>
      </x:c>
      <x:c r="T205" s="3" t="str">
        <x:f>IF(S205="","",IF(S205&lt;=26,"1부","2부"))</x:f>
        <x:v/>
      </x:c>
      <x:c r="U205" s="3" t="str">
        <x:f>IF(S205="","",INDEX('2_1일차조편성'!$E$4:$E$56,S205))</x:f>
        <x:v/>
      </x:c>
      <x:c r="V205" s="3" t="str">
        <x:f>IFERROR(IF(VLOOKUP(A205,'4_스코어입력'!$A$4:$K$213,11,FALSE)&lt;=104,"진출",""),"")</x:f>
        <x:v/>
      </x:c>
      <x:c r="W205" s="4"/>
    </x:row>
    <x:row r="206" spans="1:23">
      <x:c r="A206" s="3">
        <x:v>203</x:v>
      </x:c>
      <x:c r="B206" s="4"/>
      <x:c r="C206" s="4"/>
      <x:c r="D206" s="4"/>
      <x:c r="E206" s="4"/>
      <x:c r="F206" s="4"/>
      <x:c r="G206" s="4"/>
      <x:c r="H206" s="4"/>
      <x:c r="I206" s="4"/>
      <x:c r="J206" s="4"/>
      <x:c r="K206" s="4"/>
      <x:c r="L206" s="4"/>
      <x:c r="M206" s="4"/>
      <x:c r="N206" s="4"/>
      <x:c r="O206" s="4"/>
      <x:c r="P206" s="4"/>
      <x:c r="Q206" s="4"/>
      <x:c r="R206" s="3" t="str">
        <x:f>IF(AND(L206="완료",N206="완료",O206="완료",P206="완료",Q206="완료"),"완료","확인필요")</x:f>
        <x:v>확인필요</x:v>
      </x:c>
      <x:c r="S206" s="3" t="str">
        <x:f>IF(E206&lt;&gt;"",ROUNDUP(A206/4,0),"")</x:f>
        <x:v/>
      </x:c>
      <x:c r="T206" s="3" t="str">
        <x:f>IF(S206="","",IF(S206&lt;=26,"1부","2부"))</x:f>
        <x:v/>
      </x:c>
      <x:c r="U206" s="3" t="str">
        <x:f>IF(S206="","",INDEX('2_1일차조편성'!$E$4:$E$56,S206))</x:f>
        <x:v/>
      </x:c>
      <x:c r="V206" s="3" t="str">
        <x:f>IFERROR(IF(VLOOKUP(A206,'4_스코어입력'!$A$4:$K$213,11,FALSE)&lt;=104,"진출",""),"")</x:f>
        <x:v/>
      </x:c>
      <x:c r="W206" s="4"/>
    </x:row>
    <x:row r="207" spans="1:23">
      <x:c r="A207" s="3">
        <x:v>204</x:v>
      </x:c>
      <x:c r="B207" s="4"/>
      <x:c r="C207" s="4"/>
      <x:c r="D207" s="4"/>
      <x:c r="E207" s="4"/>
      <x:c r="F207" s="4"/>
      <x:c r="G207" s="4"/>
      <x:c r="H207" s="4"/>
      <x:c r="I207" s="4"/>
      <x:c r="J207" s="4"/>
      <x:c r="K207" s="4"/>
      <x:c r="L207" s="4"/>
      <x:c r="M207" s="4"/>
      <x:c r="N207" s="4"/>
      <x:c r="O207" s="4"/>
      <x:c r="P207" s="4"/>
      <x:c r="Q207" s="4"/>
      <x:c r="R207" s="3" t="str">
        <x:f>IF(AND(L207="완료",N207="완료",O207="완료",P207="완료",Q207="완료"),"완료","확인필요")</x:f>
        <x:v>확인필요</x:v>
      </x:c>
      <x:c r="S207" s="3" t="str">
        <x:f>IF(E207&lt;&gt;"",ROUNDUP(A207/4,0),"")</x:f>
        <x:v/>
      </x:c>
      <x:c r="T207" s="3" t="str">
        <x:f>IF(S207="","",IF(S207&lt;=26,"1부","2부"))</x:f>
        <x:v/>
      </x:c>
      <x:c r="U207" s="3" t="str">
        <x:f>IF(S207="","",INDEX('2_1일차조편성'!$E$4:$E$56,S207))</x:f>
        <x:v/>
      </x:c>
      <x:c r="V207" s="3" t="str">
        <x:f>IFERROR(IF(VLOOKUP(A207,'4_스코어입력'!$A$4:$K$213,11,FALSE)&lt;=104,"진출",""),"")</x:f>
        <x:v/>
      </x:c>
      <x:c r="W207" s="4"/>
    </x:row>
    <x:row r="208" spans="1:23">
      <x:c r="A208" s="3">
        <x:v>205</x:v>
      </x:c>
      <x:c r="B208" s="4"/>
      <x:c r="C208" s="4"/>
      <x:c r="D208" s="4"/>
      <x:c r="E208" s="4"/>
      <x:c r="F208" s="4"/>
      <x:c r="G208" s="4"/>
      <x:c r="H208" s="4"/>
      <x:c r="I208" s="4"/>
      <x:c r="J208" s="4"/>
      <x:c r="K208" s="4"/>
      <x:c r="L208" s="4"/>
      <x:c r="M208" s="4"/>
      <x:c r="N208" s="4"/>
      <x:c r="O208" s="4"/>
      <x:c r="P208" s="4"/>
      <x:c r="Q208" s="4"/>
      <x:c r="R208" s="3" t="str">
        <x:f>IF(AND(L208="완료",N208="완료",O208="완료",P208="완료",Q208="완료"),"완료","확인필요")</x:f>
        <x:v>확인필요</x:v>
      </x:c>
      <x:c r="S208" s="3" t="str">
        <x:f>IF(E208&lt;&gt;"",ROUNDUP(A208/4,0),"")</x:f>
        <x:v/>
      </x:c>
      <x:c r="T208" s="3" t="str">
        <x:f>IF(S208="","",IF(S208&lt;=26,"1부","2부"))</x:f>
        <x:v/>
      </x:c>
      <x:c r="U208" s="3" t="str">
        <x:f>IF(S208="","",INDEX('2_1일차조편성'!$E$4:$E$56,S208))</x:f>
        <x:v/>
      </x:c>
      <x:c r="V208" s="3" t="str">
        <x:f>IFERROR(IF(VLOOKUP(A208,'4_스코어입력'!$A$4:$K$213,11,FALSE)&lt;=104,"진출",""),"")</x:f>
        <x:v/>
      </x:c>
      <x:c r="W208" s="4"/>
    </x:row>
    <x:row r="209" spans="1:23">
      <x:c r="A209" s="3">
        <x:v>206</x:v>
      </x:c>
      <x:c r="B209" s="4"/>
      <x:c r="C209" s="4"/>
      <x:c r="D209" s="4"/>
      <x:c r="E209" s="4"/>
      <x:c r="F209" s="4"/>
      <x:c r="G209" s="4"/>
      <x:c r="H209" s="4"/>
      <x:c r="I209" s="4"/>
      <x:c r="J209" s="4"/>
      <x:c r="K209" s="4"/>
      <x:c r="L209" s="4"/>
      <x:c r="M209" s="4"/>
      <x:c r="N209" s="4"/>
      <x:c r="O209" s="4"/>
      <x:c r="P209" s="4"/>
      <x:c r="Q209" s="4"/>
      <x:c r="R209" s="3" t="str">
        <x:f>IF(AND(L209="완료",N209="완료",O209="완료",P209="완료",Q209="완료"),"완료","확인필요")</x:f>
        <x:v>확인필요</x:v>
      </x:c>
      <x:c r="S209" s="3" t="str">
        <x:f>IF(E209&lt;&gt;"",ROUNDUP(A209/4,0),"")</x:f>
        <x:v/>
      </x:c>
      <x:c r="T209" s="3" t="str">
        <x:f>IF(S209="","",IF(S209&lt;=26,"1부","2부"))</x:f>
        <x:v/>
      </x:c>
      <x:c r="U209" s="3" t="str">
        <x:f>IF(S209="","",INDEX('2_1일차조편성'!$E$4:$E$56,S209))</x:f>
        <x:v/>
      </x:c>
      <x:c r="V209" s="3" t="str">
        <x:f>IFERROR(IF(VLOOKUP(A209,'4_스코어입력'!$A$4:$K$213,11,FALSE)&lt;=104,"진출",""),"")</x:f>
        <x:v/>
      </x:c>
      <x:c r="W209" s="4"/>
    </x:row>
    <x:row r="210" spans="1:23">
      <x:c r="A210" s="3">
        <x:v>207</x:v>
      </x:c>
      <x:c r="B210" s="4"/>
      <x:c r="C210" s="4"/>
      <x:c r="D210" s="4"/>
      <x:c r="E210" s="4"/>
      <x:c r="F210" s="4"/>
      <x:c r="G210" s="4"/>
      <x:c r="H210" s="4"/>
      <x:c r="I210" s="4"/>
      <x:c r="J210" s="4"/>
      <x:c r="K210" s="4"/>
      <x:c r="L210" s="4"/>
      <x:c r="M210" s="4"/>
      <x:c r="N210" s="4"/>
      <x:c r="O210" s="4"/>
      <x:c r="P210" s="4"/>
      <x:c r="Q210" s="4"/>
      <x:c r="R210" s="3" t="str">
        <x:f>IF(AND(L210="완료",N210="완료",O210="완료",P210="완료",Q210="완료"),"완료","확인필요")</x:f>
        <x:v>확인필요</x:v>
      </x:c>
      <x:c r="S210" s="3" t="str">
        <x:f>IF(E210&lt;&gt;"",ROUNDUP(A210/4,0),"")</x:f>
        <x:v/>
      </x:c>
      <x:c r="T210" s="3" t="str">
        <x:f>IF(S210="","",IF(S210&lt;=26,"1부","2부"))</x:f>
        <x:v/>
      </x:c>
      <x:c r="U210" s="3" t="str">
        <x:f>IF(S210="","",INDEX('2_1일차조편성'!$E$4:$E$56,S210))</x:f>
        <x:v/>
      </x:c>
      <x:c r="V210" s="3" t="str">
        <x:f>IFERROR(IF(VLOOKUP(A210,'4_스코어입력'!$A$4:$K$213,11,FALSE)&lt;=104,"진출",""),"")</x:f>
        <x:v/>
      </x:c>
      <x:c r="W210" s="4"/>
    </x:row>
    <x:row r="211" spans="1:23">
      <x:c r="A211" s="3">
        <x:v>208</x:v>
      </x:c>
      <x:c r="B211" s="4"/>
      <x:c r="C211" s="4"/>
      <x:c r="D211" s="4"/>
      <x:c r="E211" s="4"/>
      <x:c r="F211" s="4"/>
      <x:c r="G211" s="4"/>
      <x:c r="H211" s="4"/>
      <x:c r="I211" s="4"/>
      <x:c r="J211" s="4"/>
      <x:c r="K211" s="4"/>
      <x:c r="L211" s="4"/>
      <x:c r="M211" s="4"/>
      <x:c r="N211" s="4"/>
      <x:c r="O211" s="4"/>
      <x:c r="P211" s="4"/>
      <x:c r="Q211" s="4"/>
      <x:c r="R211" s="3" t="str">
        <x:f>IF(AND(L211="완료",N211="완료",O211="완료",P211="완료",Q211="완료"),"완료","확인필요")</x:f>
        <x:v>확인필요</x:v>
      </x:c>
      <x:c r="S211" s="3" t="str">
        <x:f>IF(E211&lt;&gt;"",ROUNDUP(A211/4,0),"")</x:f>
        <x:v/>
      </x:c>
      <x:c r="T211" s="3" t="str">
        <x:f>IF(S211="","",IF(S211&lt;=26,"1부","2부"))</x:f>
        <x:v/>
      </x:c>
      <x:c r="U211" s="3" t="str">
        <x:f>IF(S211="","",INDEX('2_1일차조편성'!$E$4:$E$56,S211))</x:f>
        <x:v/>
      </x:c>
      <x:c r="V211" s="3" t="str">
        <x:f>IFERROR(IF(VLOOKUP(A211,'4_스코어입력'!$A$4:$K$213,11,FALSE)&lt;=104,"진출",""),"")</x:f>
        <x:v/>
      </x:c>
      <x:c r="W211" s="4"/>
    </x:row>
    <x:row r="212" spans="1:23">
      <x:c r="A212" s="3">
        <x:v>209</x:v>
      </x:c>
      <x:c r="B212" s="4"/>
      <x:c r="C212" s="4"/>
      <x:c r="D212" s="4"/>
      <x:c r="E212" s="4"/>
      <x:c r="F212" s="4"/>
      <x:c r="G212" s="4"/>
      <x:c r="H212" s="4"/>
      <x:c r="I212" s="4"/>
      <x:c r="J212" s="4"/>
      <x:c r="K212" s="4"/>
      <x:c r="L212" s="4"/>
      <x:c r="M212" s="4"/>
      <x:c r="N212" s="4"/>
      <x:c r="O212" s="4"/>
      <x:c r="P212" s="4"/>
      <x:c r="Q212" s="4"/>
      <x:c r="R212" s="3" t="str">
        <x:f>IF(AND(L212="완료",N212="완료",O212="완료",P212="완료",Q212="완료"),"완료","확인필요")</x:f>
        <x:v>확인필요</x:v>
      </x:c>
      <x:c r="S212" s="3" t="str">
        <x:f>IF(E212&lt;&gt;"",ROUNDUP(A212/4,0),"")</x:f>
        <x:v/>
      </x:c>
      <x:c r="T212" s="3" t="str">
        <x:f>IF(S212="","",IF(S212&lt;=26,"1부","2부"))</x:f>
        <x:v/>
      </x:c>
      <x:c r="U212" s="3" t="str">
        <x:f>IF(S212="","",INDEX('2_1일차조편성'!$E$4:$E$56,S212))</x:f>
        <x:v/>
      </x:c>
      <x:c r="V212" s="3" t="str">
        <x:f>IFERROR(IF(VLOOKUP(A212,'4_스코어입력'!$A$4:$K$213,11,FALSE)&lt;=104,"진출",""),"")</x:f>
        <x:v/>
      </x:c>
      <x:c r="W212" s="4"/>
    </x:row>
    <x:row r="213" spans="1:23">
      <x:c r="A213" s="3">
        <x:v>210</x:v>
      </x:c>
      <x:c r="B213" s="4"/>
      <x:c r="C213" s="4"/>
      <x:c r="D213" s="4"/>
      <x:c r="E213" s="4"/>
      <x:c r="F213" s="4"/>
      <x:c r="G213" s="4"/>
      <x:c r="H213" s="4"/>
      <x:c r="I213" s="4"/>
      <x:c r="J213" s="4"/>
      <x:c r="K213" s="4"/>
      <x:c r="L213" s="4"/>
      <x:c r="M213" s="4"/>
      <x:c r="N213" s="4"/>
      <x:c r="O213" s="4"/>
      <x:c r="P213" s="4"/>
      <x:c r="Q213" s="4"/>
      <x:c r="R213" s="3" t="str">
        <x:f>IF(AND(L213="완료",N213="완료",O213="완료",P213="완료",Q213="완료"),"완료","확인필요")</x:f>
        <x:v>확인필요</x:v>
      </x:c>
      <x:c r="S213" s="3" t="str">
        <x:f>IF(E213&lt;&gt;"",ROUNDUP(A213/4,0),"")</x:f>
        <x:v/>
      </x:c>
      <x:c r="T213" s="3" t="str">
        <x:f>IF(S213="","",IF(S213&lt;=26,"1부","2부"))</x:f>
        <x:v/>
      </x:c>
      <x:c r="U213" s="3" t="str">
        <x:f>IF(S213="","",INDEX('2_1일차조편성'!$E$4:$E$56,S213))</x:f>
        <x:v/>
      </x:c>
      <x:c r="V213" s="3" t="str">
        <x:f>IFERROR(IF(VLOOKUP(A213,'4_스코어입력'!$A$4:$K$213,11,FALSE)&lt;=104,"진출",""),"")</x:f>
        <x:v/>
      </x:c>
      <x:c r="W213" s="4"/>
    </x:row>
  </x:sheetData>
  <x:autoFilter ref="A3:W213"/>
  <x:mergeCells count="1">
    <x:mergeCell ref="A1:W1"/>
  </x:mergeCells>
  <x:conditionalFormatting sqref="L4:L213">
    <x:cfRule type="expression" dxfId="2" priority="3">
      <x:formula>L4="대기"</x:formula>
    </x:cfRule>
    <x:cfRule type="expression" dxfId="1" priority="2">
      <x:formula>OR(L4="미완료",L4="미입금",L4="확인필요")</x:formula>
    </x:cfRule>
    <x:cfRule type="expression" dxfId="0" priority="1">
      <x:formula>L4="완료"</x:formula>
    </x:cfRule>
  </x:conditionalFormatting>
  <x:conditionalFormatting sqref="N4:N213">
    <x:cfRule type="expression" dxfId="2" priority="6">
      <x:formula>N4="대기"</x:formula>
    </x:cfRule>
    <x:cfRule type="expression" dxfId="1" priority="5">
      <x:formula>OR(N4="미완료",N4="미입금",N4="확인필요")</x:formula>
    </x:cfRule>
    <x:cfRule type="expression" dxfId="0" priority="4">
      <x:formula>N4="완료"</x:formula>
    </x:cfRule>
  </x:conditionalFormatting>
  <x:conditionalFormatting sqref="O4:O213">
    <x:cfRule type="expression" dxfId="2" priority="9">
      <x:formula>O4="대기"</x:formula>
    </x:cfRule>
    <x:cfRule type="expression" dxfId="1" priority="8">
      <x:formula>OR(O4="미완료",O4="미입금",O4="확인필요")</x:formula>
    </x:cfRule>
    <x:cfRule type="expression" dxfId="0" priority="7">
      <x:formula>O4="완료"</x:formula>
    </x:cfRule>
  </x:conditionalFormatting>
  <x:conditionalFormatting sqref="P4:P213">
    <x:cfRule type="expression" dxfId="2" priority="12">
      <x:formula>P4="대기"</x:formula>
    </x:cfRule>
    <x:cfRule type="expression" dxfId="1" priority="11">
      <x:formula>OR(P4="미완료",P4="미입금",P4="확인필요")</x:formula>
    </x:cfRule>
    <x:cfRule type="expression" dxfId="0" priority="10">
      <x:formula>P4="완료"</x:formula>
    </x:cfRule>
  </x:conditionalFormatting>
  <x:conditionalFormatting sqref="Q4:Q213">
    <x:cfRule type="expression" dxfId="2" priority="15">
      <x:formula>Q4="대기"</x:formula>
    </x:cfRule>
    <x:cfRule type="expression" dxfId="1" priority="14">
      <x:formula>OR(Q4="미완료",Q4="미입금",Q4="확인필요")</x:formula>
    </x:cfRule>
    <x:cfRule type="expression" dxfId="0" priority="13">
      <x:formula>Q4="완료"</x:formula>
    </x:cfRule>
  </x:conditionalFormatting>
  <x:conditionalFormatting sqref="R4:R213">
    <x:cfRule type="expression" dxfId="2" priority="18">
      <x:formula>R4="대기"</x:formula>
    </x:cfRule>
    <x:cfRule type="expression" dxfId="1" priority="17">
      <x:formula>OR(R4="미완료",R4="미입금",R4="확인필요")</x:formula>
    </x:cfRule>
    <x:cfRule type="expression" dxfId="0" priority="16">
      <x:formula>R4="완료"</x:formula>
    </x:cfRule>
  </x:conditionalFormatting>
  <x:conditionalFormatting sqref="V4:V213">
    <x:cfRule type="expression" dxfId="2" priority="21">
      <x:formula>V4="대기"</x:formula>
    </x:cfRule>
    <x:cfRule type="expression" dxfId="1" priority="20">
      <x:formula>OR(V4="미완료",V4="미입금",V4="확인필요")</x:formula>
    </x:cfRule>
    <x:cfRule type="expression" dxfId="0" priority="19">
      <x:formula>V4="완료"</x:formula>
    </x:cfRule>
  </x:conditionalFormatting>
  <x:dataValidations count="5">
    <x:dataValidation type="list" allowBlank="1" sqref="C4:C4 C5:C5 C6:C6 C7:C7 C8:C8 C9:C9 C10:C10 C11:C11 C12:C12 C13:C13 C14:C14 C15:C15 C16:C16 C17:C17 C18:C18 C19:C19 C20:C20 C21:C21 C22:C22 C23:C23 C24:C24 C25:C25 C26:C26 C27:C27 C28:C28 C29:C29 C30:C30 C31:C31 C32:C32 C33:C33 C34:C34 C35:C35 C36:C36 C37:C37 C38:C38 C39:C39 C40:C40 C41:C41 C42:C42 C43:C43 C44:C44 C45:C45 C46:C46 C47:C47 C48:C48 C49:C49 C50:C50 C51:C51 C52:C52 C53:C53 C54:C54 C55:C55 C56:C56 C57:C57 C58:C58 C59:C59 C60:C60 C61:C61 C62:C62 C63:C63 C64:C64 C65:C65 C66:C66 C67:C67 C68:C68 C69:C69 C70:C70 C71:C71 C72:C72 C73:C73 C74:C74 C75:C75 C76:C76 C77:C77 C78:C78 C79:C79 C80:C80 C81:C81 C82:C82 C83:C83 C84:C84 C85:C85 C86:C86 C87:C87 C88:C88 C89:C89 C90:C90 C91:C91 C92:C92 C93:C93 C94:C94 C95:C95 C96:C96 C97:C97 C98:C98 C99:C99 C100:C100 C101:C101 C102:C102 C103:C103 C104:C104 C105:C105 C106:C106 C107:C107 C108:C108 C109:C109 C110:C110 C111:C111 C112:C112 C113:C113 C114:C114 C115:C115 C116:C116 C117:C117 C118:C118 C119:C119 C120:C120 C121:C121 C122:C122 C123:C123 C124:C124 C125:C125 C126:C126 C127:C127 C128:C128 C129:C129 C130:C130 C131:C131 C132:C132 C133:C133 C134:C134 C135:C135 C136:C136 C137:C137 C138:C138 C139:C139 C140:C140 C141:C141 C142:C142 C143:C143 C144:C144 C145:C145 C146:C146 C147:C147 C148:C148 C149:C149 C150:C150 C151:C151 C152:C152 C153:C153 C154:C154 C155:C155 C156:C156 C157:C157 C158:C158 C159:C159 C160:C160 C161:C161 C162:C162 C163:C163 C164:C164 C165:C165 C166:C166 C167:C167 C168:C168 C169:C169 C170:C170 C171:C171 C172:C172 C173:C173 C174:C174 C175:C175 C176:C176 C177:C177 C178:C178 C179:C179 C180:C180 C181:C181 C182:C182 C183:C183 C184:C184 C185:C185 C186:C186 C187:C187 C188:C188 C189:C189 C190:C190 C191:C191 C192:C192 C193:C193 C194:C194 C195:C195 C196:C196 C197:C197 C198:C198 C199:C199 C200:C200 C201:C201 C202:C202 C203:C203 C204:C204 C205:C205 C206:C206 C207:C207 C208:C208 C209:C209 C210:C210 C211:C211 C212:C212 C213:C213">
      <x:formula1>"중학생,고등학생"</x:formula1>
    </x:dataValidation>
    <x:dataValidation type="list" allowBlank="1" sqref="D4:D4 D5:D5 D6:D6 D7:D7 D8:D8 D9:D9 D10:D10 D11:D11 D12:D12 D13:D13 D14:D14 D15:D15 D16:D16 D17:D17 D18:D18 D19:D19 D20:D20 D21:D21 D22:D22 D23:D23 D24:D24 D25:D25 D26:D26 D27:D27 D28:D28 D29:D29 D30:D30 D31:D31 D32:D32 D33:D33 D34:D34 D35:D35 D36:D36 D37:D37 D38:D38 D39:D39 D40:D40 D41:D41 D42:D42 D43:D43 D44:D44 D45:D45 D46:D46 D47:D47 D48:D48 D49:D49 D50:D50 D51:D51 D52:D52 D53:D53 D54:D54 D55:D55 D56:D56 D57:D57 D58:D58 D59:D59 D60:D60 D61:D61 D62:D62 D63:D63 D64:D64 D65:D65 D66:D66 D67:D67 D68:D68 D69:D69 D70:D70 D71:D71 D72:D72 D73:D73 D74:D74 D75:D75 D76:D76 D77:D77 D78:D78 D79:D79 D80:D80 D81:D81 D82:D82 D83:D83 D84:D84 D85:D85 D86:D86 D87:D87 D88:D88 D89:D89 D90:D90 D91:D91 D92:D92 D93:D93 D94:D94 D95:D95 D96:D96 D97:D97 D98:D98 D99:D99 D100:D100 D101:D101 D102:D102 D103:D103 D104:D104 D105:D105 D106:D106 D107:D107 D108:D108 D109:D109 D110:D110 D111:D111 D112:D112 D113:D113 D114:D114 D115:D115 D116:D116 D117:D117 D118:D118 D119:D119 D120:D120 D121:D121 D122:D122 D123:D123 D124:D124 D125:D125 D126:D126 D127:D127 D128:D128 D129:D129 D130:D130 D131:D131 D132:D132 D133:D133 D134:D134 D135:D135 D136:D136 D137:D137 D138:D138 D139:D139 D140:D140 D141:D141 D142:D142 D143:D143 D144:D144 D145:D145 D146:D146 D147:D147 D148:D148 D149:D149 D150:D150 D151:D151 D152:D152 D153:D153 D154:D154 D155:D155 D156:D156 D157:D157 D158:D158 D159:D159 D160:D160 D161:D161 D162:D162 D163:D163 D164:D164 D165:D165 D166:D166 D167:D167 D168:D168 D169:D169 D170:D170 D171:D171 D172:D172 D173:D173 D174:D174 D175:D175 D176:D176 D177:D177 D178:D178 D179:D179 D180:D180 D181:D181 D182:D182 D183:D183 D184:D184 D185:D185 D186:D186 D187:D187 D188:D188 D189:D189 D190:D190 D191:D191 D192:D192 D193:D193 D194:D194 D195:D195 D196:D196 D197:D197 D198:D198 D199:D199 D200:D200 D201:D201 D202:D202 D203:D203 D204:D204 D205:D205 D206:D206 D207:D207 D208:D208 D209:D209 D210:D210 D211:D211 D212:D212 D213:D213">
      <x:formula1>"남,여"</x:formula1>
    </x:dataValidation>
    <x:dataValidation type="list" allowBlank="1" sqref="G4:G4 G5:G5 G6:G6 G7:G7 G8:G8 G9:G9 G10:G10 G11:G11 G12:G12 G13:G13 G14:G14 G15:G15 G16:G16 G17:G17 G18:G18 G19:G19 G20:G20 G21:G21 G22:G22 G23:G23 G24:G24 G25:G25 G26:G26 G27:G27 G28:G28 G29:G29 G30:G30 G31:G31 G32:G32 G33:G33 G34:G34 G35:G35 G36:G36 G37:G37 G38:G38 G39:G39 G40:G40 G41:G41 G42:G42 G43:G43 G44:G44 G45:G45 G46:G46 G47:G47 G48:G48 G49:G49 G50:G50 G51:G51 G52:G52 G53:G53 G54:G54 G55:G55 G56:G56 G57:G57 G58:G58 G59:G59 G60:G60 G61:G61 G62:G62 G63:G63 G64:G64 G65:G65 G66:G66 G67:G67 G68:G68 G69:G69 G70:G70 G71:G71 G72:G72 G73:G73 G74:G74 G75:G75 G76:G76 G77:G77 G78:G78 G79:G79 G80:G80 G81:G81 G82:G82 G83:G83 G84:G84 G85:G85 G86:G86 G87:G87 G88:G88 G89:G89 G90:G90 G91:G91 G92:G92 G93:G93 G94:G94 G95:G95 G96:G96 G97:G97 G98:G98 G99:G99 G100:G100 G101:G101 G102:G102 G103:G103 G104:G104 G105:G105 G106:G106 G107:G107 G108:G108 G109:G109 G110:G110 G111:G111 G112:G112 G113:G113 G114:G114 G115:G115 G116:G116 G117:G117 G118:G118 G119:G119 G120:G120 G121:G121 G122:G122 G123:G123 G124:G124 G125:G125 G126:G126 G127:G127 G128:G128 G129:G129 G130:G130 G131:G131 G132:G132 G133:G133 G134:G134 G135:G135 G136:G136 G137:G137 G138:G138 G139:G139 G140:G140 G141:G141 G142:G142 G143:G143 G144:G144 G145:G145 G146:G146 G147:G147 G148:G148 G149:G149 G150:G150 G151:G151 G152:G152 G153:G153 G154:G154 G155:G155 G156:G156 G157:G157 G158:G158 G159:G159 G160:G160 G161:G161 G162:G162 G163:G163 G164:G164 G165:G165 G166:G166 G167:G167 G168:G168 G169:G169 G170:G170 G171:G171 G172:G172 G173:G173 G174:G174 G175:G175 G176:G176 G177:G177 G178:G178 G179:G179 G180:G180 G181:G181 G182:G182 G183:G183 G184:G184 G185:G185 G186:G186 G187:G187 G188:G188 G189:G189 G190:G190 G191:G191 G192:G192 G193:G193 G194:G194 G195:G195 G196:G196 G197:G197 G198:G198 G199:G199 G200:G200 G201:G201 G202:G202 G203:G203 G204:G204 G205:G205 G206:G206 G207:G207 G208:G208 G209:G209 G210:G210 G211:G211 G212:G212 G213:G213">
      <x:formula1>"1학년,2학년,3학년"</x:formula1>
    </x:dataValidation>
    <x:dataValidation type="list" allowBlank="1" sqref="L4:L4 L5:L5 L6:L6 L7:L7 L8:L8 L9:L9 L10:L10 L11:L11 L12:L12 L13:L13 L14:L14 L15:L15 L16:L16 L17:L17 L18:L18 L19:L19 L20:L20 L21:L21 L22:L22 L23:L23 L24:L24 L25:L25 L26:L26 L27:L27 L28:L28 L29:L29 L30:L30 L31:L31 L32:L32 L33:L33 L34:L34 L35:L35 L36:L36 L37:L37 L38:L38 L39:L39 L40:L40 L41:L41 L42:L42 L43:L43 L44:L44 L45:L45 L46:L46 L47:L47 L48:L48 L49:L49 L50:L50 L51:L51 L52:L52 L53:L53 L54:L54 L55:L55 L56:L56 L57:L57 L58:L58 L59:L59 L60:L60 L61:L61 L62:L62 L63:L63 L64:L64 L65:L65 L66:L66 L67:L67 L68:L68 L69:L69 L70:L70 L71:L71 L72:L72 L73:L73 L74:L74 L75:L75 L76:L76 L77:L77 L78:L78 L79:L79 L80:L80 L81:L81 L82:L82 L83:L83 L84:L84 L85:L85 L86:L86 L87:L87 L88:L88 L89:L89 L90:L90 L91:L91 L92:L92 L93:L93 L94:L94 L95:L95 L96:L96 L97:L97 L98:L98 L99:L99 L100:L100 L101:L101 L102:L102 L103:L103 L104:L104 L105:L105 L106:L106 L107:L107 L108:L108 L109:L109 L110:L110 L111:L111 L112:L112 L113:L113 L114:L114 L115:L115 L116:L116 L117:L117 L118:L118 L119:L119 L120:L120 L121:L121 L122:L122 L123:L123 L124:L124 L125:L125 L126:L126 L127:L127 L128:L128 L129:L129 L130:L130 L131:L131 L132:L132 L133:L133 L134:L134 L135:L135 L136:L136 L137:L137 L138:L138 L139:L139 L140:L140 L141:L141 L142:L142 L143:L143 L144:L144 L145:L145 L146:L146 L147:L147 L148:L148 L149:L149 L150:L150 L151:L151 L152:L152 L153:L153 L154:L154 L155:L155 L156:L156 L157:L157 L158:L158 L159:L159 L160:L160 L161:L161 L162:L162 L163:L163 L164:L164 L165:L165 L166:L166 L167:L167 L168:L168 L169:L169 L170:L170 L171:L171 L172:L172 L173:L173 L174:L174 L175:L175 L176:L176 L177:L177 L178:L178 L179:L179 L180:L180 L181:L181 L182:L182 L183:L183 L184:L184 L185:L185 L186:L186 L187:L187 L188:L188 L189:L189 L190:L190 L191:L191 L192:L192 L193:L193 L194:L194 L195:L195 L196:L196 L197:L197 L198:L198 L199:L199 L200:L200 L201:L201 L202:L202 L203:L203 L204:L204 L205:L205 L206:L206 L207:L207 L208:L208 L209:L209 L210:L210 L211:L211 L212:L212 L213:L213">
      <x:formula1>"완료,미입금,환불,대기"</x:formula1>
    </x:dataValidation>
    <x:dataValidation type="list" allowBlank="1" sqref="N4:Q4 N5:Q5 N6:Q6 N7:Q7 N8:Q8 N9:Q9 N10:Q10 N11:Q11 N12:Q12 N13:Q13 N14:Q14 N15:Q15 N16:Q16 N17:Q17 N18:Q18 N19:Q19 N20:Q20 N21:Q21 N22:Q22 N23:Q23 N24:Q24 N25:Q25 N26:Q26 N27:Q27 N28:Q28 N29:Q29 N30:Q30 N31:Q31 N32:Q32 N33:Q33 N34:Q34 N35:Q35 N36:Q36 N37:Q37 N38:Q38 N39:Q39 N40:Q40 N41:Q41 N42:Q42 N43:Q43 N44:Q44 N45:Q45 N46:Q46 N47:Q47 N48:Q48 N49:Q49 N50:Q50 N51:Q51 N52:Q52 N53:Q53 N54:Q54 N55:Q55 N56:Q56 N57:Q57 N58:Q58 N59:Q59 N60:Q60 N61:Q61 N62:Q62 N63:Q63 N64:Q64 N65:Q65 N66:Q66 N67:Q67 N68:Q68 N69:Q69 N70:Q70 N71:Q71 N72:Q72 N73:Q73 N74:Q74 N75:Q75 N76:Q76 N77:Q77 N78:Q78 N79:Q79 N80:Q80 N81:Q81 N82:Q82 N83:Q83 N84:Q84 N85:Q85 N86:Q86 N87:Q87 N88:Q88 N89:Q89 N90:Q90 N91:Q91 N92:Q92 N93:Q93 N94:Q94 N95:Q95 N96:Q96 N97:Q97 N98:Q98 N99:Q99 N100:Q100 N101:Q101 N102:Q102 N103:Q103 N104:Q104 N105:Q105 N106:Q106 N107:Q107 N108:Q108 N109:Q109 N110:Q110 N111:Q111 N112:Q112 N113:Q113 N114:Q114 N115:Q115 N116:Q116 N117:Q117 N118:Q118 N119:Q119 N120:Q120 N121:Q121 N122:Q122 N123:Q123 N124:Q124 N125:Q125 N126:Q126 N127:Q127 N128:Q128 N129:Q129 N130:Q130 N131:Q131 N132:Q132 N133:Q133 N134:Q134 N135:Q135 N136:Q136 N137:Q137 N138:Q138 N139:Q139 N140:Q140 N141:Q141 N142:Q142 N143:Q143 N144:Q144 N145:Q145 N146:Q146 N147:Q147 N148:Q148 N149:Q149 N150:Q150 N151:Q151 N152:Q152 N153:Q153 N154:Q154 N155:Q155 N156:Q156 N157:Q157 N158:Q158 N159:Q159 N160:Q160 N161:Q161 N162:Q162 N163:Q163 N164:Q164 N165:Q165 N166:Q166 N167:Q167 N168:Q168 N169:Q169 N170:Q170 N171:Q171 N172:Q172 N173:Q173 N174:Q174 N175:Q175 N176:Q176 N177:Q177 N178:Q178 N179:Q179 N180:Q180 N181:Q181 N182:Q182 N183:Q183 N184:Q184 N185:Q185 N186:Q186 N187:Q187 N188:Q188 N189:Q189 N190:Q190 N191:Q191 N192:Q192 N193:Q193 N194:Q194 N195:Q195 N196:Q196 N197:Q197 N198:Q198 N199:Q199 N200:Q200 N201:Q201 N202:Q202 N203:Q203 N204:Q204 N205:Q205 N206:Q206 N207:Q207 N208:Q208 N209:Q209 N210:Q210 N211:Q211 N212:Q212 N213:Q213">
      <x:formula1>"완료,미완료,해당없음"</x:formula1>
    </x:dataValidation>
  </x:dataValidations>
  <x:pageMargins left="0.30000001192092896" right="0.30000001192092896" top="0.5" bottom="0.5" header="0.5" footer="0.5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 filterMode="1"/>
  <x:dimension ref="A1:O56"/>
  <x:sheetViews>
    <x:sheetView showGridLines="0" topLeftCell="A1" zoomScaleNormal="100" zoomScaleSheetLayoutView="75" workbookViewId="0">
      <x:pane xSplit="0" ySplit="3" topLeftCell="A28" activePane="bottomLeft" state="frozen"/>
      <x:selection pane="bottomLeft" activeCell="N3" activeCellId="0" sqref="N3:N3"/>
    </x:sheetView>
  </x:sheetViews>
  <x:sheetFormatPr defaultColWidth="8.796875" defaultRowHeight="16.399999999999999"/>
  <x:cols>
    <x:col min="1" max="1" width="6" customWidth="1"/>
    <x:col min="2" max="3" width="12" customWidth="1"/>
    <x:col min="4" max="4" width="8" customWidth="1"/>
    <x:col min="5" max="5" width="12" customWidth="1"/>
    <x:col min="6" max="9" width="14" customWidth="1"/>
    <x:col min="10" max="10" width="20" customWidth="1"/>
    <x:col min="11" max="11" width="12" customWidth="1"/>
    <x:col min="12" max="12" width="20" customWidth="1"/>
    <x:col min="14" max="15" width="12" customWidth="1"/>
  </x:cols>
  <x:sheetData>
    <x:row r="1" spans="1:12" ht="28" customHeight="1">
      <x:c r="A1" s="14" t="s">
        <x:v>121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 spans="14:15">
      <x:c r="N2" s="5" t="s">
        <x:v>12</x:v>
      </x:c>
      <x:c r="O2" s="6" t="s">
        <x:v>13</x:v>
      </x:c>
    </x:row>
    <x:row r="3" spans="1:15">
      <x:c r="A3" s="2" t="s">
        <x:v>138</x:v>
      </x:c>
      <x:c r="B3" s="2" t="s">
        <x:v>147</x:v>
      </x:c>
      <x:c r="C3" s="2" t="s">
        <x:v>140</x:v>
      </x:c>
      <x:c r="D3" s="2" t="s">
        <x:v>145</x:v>
      </x:c>
      <x:c r="E3" s="2" t="s">
        <x:v>18</x:v>
      </x:c>
      <x:c r="F3" s="2" t="s">
        <x:v>143</x:v>
      </x:c>
      <x:c r="G3" s="2" t="s">
        <x:v>146</x:v>
      </x:c>
      <x:c r="H3" s="2" t="s">
        <x:v>144</x:v>
      </x:c>
      <x:c r="I3" s="2" t="s">
        <x:v>142</x:v>
      </x:c>
      <x:c r="J3" s="2" t="s">
        <x:v>122</x:v>
      </x:c>
      <x:c r="K3" s="2" t="s">
        <x:v>19</x:v>
      </x:c>
      <x:c r="L3" s="2" t="s">
        <x:v>67</x:v>
      </x:c>
      <x:c r="N3" s="5" t="s">
        <x:v>20</x:v>
      </x:c>
      <x:c r="O3" s="6" t="s">
        <x:v>17</x:v>
      </x:c>
    </x:row>
    <x:row r="4" spans="1:15">
      <x:c r="A4" s="3">
        <x:v>1</x:v>
      </x:c>
      <x:c r="B4" s="4" t="s">
        <x:v>15</x:v>
      </x:c>
      <x:c r="C4" s="4" t="s">
        <x:v>16</x:v>
      </x:c>
      <x:c r="D4" s="3" t="str">
        <x:f>IF(A4&lt;=26,"1부","2부")</x:f>
        <x:v>1부</x:v>
      </x:c>
      <x:c r="E4" s="7">
        <x:f>IF(A4&lt;=26,$O$2+(A4-1)*TIME(0,$O$4,0),$O$3+(A4-27)*TIME(0,$O$4,0))</x:f>
        <x:v>0.29166666666666669</x:v>
      </x:c>
      <x:c r="F4" s="3" t="str">
        <x:f>IF('1_참가선수입력'!$E$4&lt;&gt;"",'1_참가선수입력'!$E$4,"")</x:f>
        <x:v/>
      </x:c>
      <x:c r="G4" s="3" t="str">
        <x:f>IF('1_참가선수입력'!$E$5&lt;&gt;"",'1_참가선수입력'!$E$5,"")</x:f>
        <x:v/>
      </x:c>
      <x:c r="H4" s="3" t="str">
        <x:f>IF('1_참가선수입력'!$E$6&lt;&gt;"",'1_참가선수입력'!$E$6,"")</x:f>
        <x:v/>
      </x:c>
      <x:c r="I4" s="3" t="str">
        <x:f>IF('1_참가선수입력'!$E$7&lt;&gt;"",'1_참가선수입력'!$E$7,"")</x:f>
        <x:v/>
      </x:c>
      <x:c r="J4" s="3" t="e">
        <x:f>TEXTJOIN(" / ",TRUE,'1_참가선수입력'!C4:D7)</x:f>
        <x:v>#NAME?</x:v>
      </x:c>
      <x:c r="K4" s="4"/>
      <x:c r="L4" s="4"/>
      <x:c r="N4" s="5" t="s">
        <x:v>14</x:v>
      </x:c>
      <x:c r="O4" s="8">
        <x:v>8</x:v>
      </x:c>
    </x:row>
    <x:row r="5" spans="1:12">
      <x:c r="A5" s="3">
        <x:v>2</x:v>
      </x:c>
      <x:c r="B5" s="4" t="s">
        <x:v>15</x:v>
      </x:c>
      <x:c r="C5" s="4" t="s">
        <x:v>16</x:v>
      </x:c>
      <x:c r="D5" s="3" t="str">
        <x:f>IF(A5&lt;=26,"1부","2부")</x:f>
        <x:v>1부</x:v>
      </x:c>
      <x:c r="E5" s="7">
        <x:f>IF(A5&lt;=26,$O$2+(A5-1)*TIME(0,$O$4,0),$O$3+(A5-27)*TIME(0,$O$4,0))</x:f>
        <x:v>0.29722222222222222</x:v>
      </x:c>
      <x:c r="F5" s="3" t="str">
        <x:f>IF('1_참가선수입력'!$E$8&lt;&gt;"",'1_참가선수입력'!$E$8,"")</x:f>
        <x:v/>
      </x:c>
      <x:c r="G5" s="3" t="str">
        <x:f>IF('1_참가선수입력'!$E$9&lt;&gt;"",'1_참가선수입력'!$E$9,"")</x:f>
        <x:v/>
      </x:c>
      <x:c r="H5" s="3" t="str">
        <x:f>IF('1_참가선수입력'!$E$10&lt;&gt;"",'1_참가선수입력'!$E$10,"")</x:f>
        <x:v/>
      </x:c>
      <x:c r="I5" s="3" t="str">
        <x:f>IF('1_참가선수입력'!$E$11&lt;&gt;"",'1_참가선수입력'!$E$11,"")</x:f>
        <x:v/>
      </x:c>
      <x:c r="J5" s="3" t="e">
        <x:f>TEXTJOIN(" / ",TRUE,'1_참가선수입력'!C8:D11)</x:f>
        <x:v>#NAME?</x:v>
      </x:c>
      <x:c r="K5" s="4"/>
      <x:c r="L5" s="4"/>
    </x:row>
    <x:row r="6" spans="1:12">
      <x:c r="A6" s="3">
        <x:v>3</x:v>
      </x:c>
      <x:c r="B6" s="4" t="s">
        <x:v>15</x:v>
      </x:c>
      <x:c r="C6" s="4" t="s">
        <x:v>16</x:v>
      </x:c>
      <x:c r="D6" s="3" t="str">
        <x:f>IF(A6&lt;=26,"1부","2부")</x:f>
        <x:v>1부</x:v>
      </x:c>
      <x:c r="E6" s="7">
        <x:f>IF(A6&lt;=26,$O$2+(A6-1)*TIME(0,$O$4,0),$O$3+(A6-27)*TIME(0,$O$4,0))</x:f>
        <x:v>0.30277777777777781</x:v>
      </x:c>
      <x:c r="F6" s="3" t="str">
        <x:f>IF('1_참가선수입력'!$E$12&lt;&gt;"",'1_참가선수입력'!$E$12,"")</x:f>
        <x:v/>
      </x:c>
      <x:c r="G6" s="3" t="str">
        <x:f>IF('1_참가선수입력'!$E$13&lt;&gt;"",'1_참가선수입력'!$E$13,"")</x:f>
        <x:v/>
      </x:c>
      <x:c r="H6" s="3" t="str">
        <x:f>IF('1_참가선수입력'!$E$14&lt;&gt;"",'1_참가선수입력'!$E$14,"")</x:f>
        <x:v/>
      </x:c>
      <x:c r="I6" s="3" t="str">
        <x:f>IF('1_참가선수입력'!$E$15&lt;&gt;"",'1_참가선수입력'!$E$15,"")</x:f>
        <x:v/>
      </x:c>
      <x:c r="J6" s="3" t="e">
        <x:f>TEXTJOIN(" / ",TRUE,'1_참가선수입력'!C12:D15)</x:f>
        <x:v>#NAME?</x:v>
      </x:c>
      <x:c r="K6" s="4"/>
      <x:c r="L6" s="4"/>
    </x:row>
    <x:row r="7" spans="1:12">
      <x:c r="A7" s="3">
        <x:v>4</x:v>
      </x:c>
      <x:c r="B7" s="4" t="s">
        <x:v>15</x:v>
      </x:c>
      <x:c r="C7" s="4" t="s">
        <x:v>16</x:v>
      </x:c>
      <x:c r="D7" s="3" t="str">
        <x:f>IF(A7&lt;=26,"1부","2부")</x:f>
        <x:v>1부</x:v>
      </x:c>
      <x:c r="E7" s="7">
        <x:f>IF(A7&lt;=26,$O$2+(A7-1)*TIME(0,$O$4,0),$O$3+(A7-27)*TIME(0,$O$4,0))</x:f>
        <x:v>0.30833333333333335</x:v>
      </x:c>
      <x:c r="F7" s="3" t="str">
        <x:f>IF('1_참가선수입력'!$E$16&lt;&gt;"",'1_참가선수입력'!$E$16,"")</x:f>
        <x:v/>
      </x:c>
      <x:c r="G7" s="3" t="str">
        <x:f>IF('1_참가선수입력'!$E$17&lt;&gt;"",'1_참가선수입력'!$E$17,"")</x:f>
        <x:v/>
      </x:c>
      <x:c r="H7" s="3" t="str">
        <x:f>IF('1_참가선수입력'!$E$18&lt;&gt;"",'1_참가선수입력'!$E$18,"")</x:f>
        <x:v/>
      </x:c>
      <x:c r="I7" s="3" t="str">
        <x:f>IF('1_참가선수입력'!$E$19&lt;&gt;"",'1_참가선수입력'!$E$19,"")</x:f>
        <x:v/>
      </x:c>
      <x:c r="J7" s="3" t="e">
        <x:f>TEXTJOIN(" / ",TRUE,'1_참가선수입력'!C16:D19)</x:f>
        <x:v>#NAME?</x:v>
      </x:c>
      <x:c r="K7" s="4"/>
      <x:c r="L7" s="4"/>
    </x:row>
    <x:row r="8" spans="1:12">
      <x:c r="A8" s="3">
        <x:v>5</x:v>
      </x:c>
      <x:c r="B8" s="4" t="s">
        <x:v>15</x:v>
      </x:c>
      <x:c r="C8" s="4" t="s">
        <x:v>16</x:v>
      </x:c>
      <x:c r="D8" s="3" t="str">
        <x:f>IF(A8&lt;=26,"1부","2부")</x:f>
        <x:v>1부</x:v>
      </x:c>
      <x:c r="E8" s="7">
        <x:f>IF(A8&lt;=26,$O$2+(A8-1)*TIME(0,$O$4,0),$O$3+(A8-27)*TIME(0,$O$4,0))</x:f>
        <x:v>0.31388888888888888</x:v>
      </x:c>
      <x:c r="F8" s="3" t="str">
        <x:f>IF('1_참가선수입력'!$E$20&lt;&gt;"",'1_참가선수입력'!$E$20,"")</x:f>
        <x:v/>
      </x:c>
      <x:c r="G8" s="3" t="str">
        <x:f>IF('1_참가선수입력'!$E$21&lt;&gt;"",'1_참가선수입력'!$E$21,"")</x:f>
        <x:v/>
      </x:c>
      <x:c r="H8" s="3" t="str">
        <x:f>IF('1_참가선수입력'!$E$22&lt;&gt;"",'1_참가선수입력'!$E$22,"")</x:f>
        <x:v/>
      </x:c>
      <x:c r="I8" s="3" t="str">
        <x:f>IF('1_참가선수입력'!$E$23&lt;&gt;"",'1_참가선수입력'!$E$23,"")</x:f>
        <x:v/>
      </x:c>
      <x:c r="J8" s="3" t="e">
        <x:f>TEXTJOIN(" / ",TRUE,'1_참가선수입력'!C20:D23)</x:f>
        <x:v>#NAME?</x:v>
      </x:c>
      <x:c r="K8" s="4"/>
      <x:c r="L8" s="4"/>
    </x:row>
    <x:row r="9" spans="1:12">
      <x:c r="A9" s="3">
        <x:v>6</x:v>
      </x:c>
      <x:c r="B9" s="4" t="s">
        <x:v>15</x:v>
      </x:c>
      <x:c r="C9" s="4" t="s">
        <x:v>16</x:v>
      </x:c>
      <x:c r="D9" s="3" t="str">
        <x:f>IF(A9&lt;=26,"1부","2부")</x:f>
        <x:v>1부</x:v>
      </x:c>
      <x:c r="E9" s="7">
        <x:f>IF(A9&lt;=26,$O$2+(A9-1)*TIME(0,$O$4,0),$O$3+(A9-27)*TIME(0,$O$4,0))</x:f>
        <x:v>0.31944444444444448</x:v>
      </x:c>
      <x:c r="F9" s="3" t="str">
        <x:f>IF('1_참가선수입력'!$E$24&lt;&gt;"",'1_참가선수입력'!$E$24,"")</x:f>
        <x:v/>
      </x:c>
      <x:c r="G9" s="3" t="str">
        <x:f>IF('1_참가선수입력'!$E$25&lt;&gt;"",'1_참가선수입력'!$E$25,"")</x:f>
        <x:v/>
      </x:c>
      <x:c r="H9" s="3" t="str">
        <x:f>IF('1_참가선수입력'!$E$26&lt;&gt;"",'1_참가선수입력'!$E$26,"")</x:f>
        <x:v/>
      </x:c>
      <x:c r="I9" s="3" t="str">
        <x:f>IF('1_참가선수입력'!$E$27&lt;&gt;"",'1_참가선수입력'!$E$27,"")</x:f>
        <x:v/>
      </x:c>
      <x:c r="J9" s="3" t="e">
        <x:f>TEXTJOIN(" / ",TRUE,'1_참가선수입력'!C24:D27)</x:f>
        <x:v>#NAME?</x:v>
      </x:c>
      <x:c r="K9" s="4"/>
      <x:c r="L9" s="4"/>
    </x:row>
    <x:row r="10" spans="1:12">
      <x:c r="A10" s="3">
        <x:v>7</x:v>
      </x:c>
      <x:c r="B10" s="4" t="s">
        <x:v>15</x:v>
      </x:c>
      <x:c r="C10" s="4" t="s">
        <x:v>16</x:v>
      </x:c>
      <x:c r="D10" s="3" t="str">
        <x:f>IF(A10&lt;=26,"1부","2부")</x:f>
        <x:v>1부</x:v>
      </x:c>
      <x:c r="E10" s="7">
        <x:f>IF(A10&lt;=26,$O$2+(A10-1)*TIME(0,$O$4,0),$O$3+(A10-27)*TIME(0,$O$4,0))</x:f>
        <x:v>0.32500000000000001</x:v>
      </x:c>
      <x:c r="F10" s="3" t="str">
        <x:f>IF('1_참가선수입력'!$E$28&lt;&gt;"",'1_참가선수입력'!$E$28,"")</x:f>
        <x:v/>
      </x:c>
      <x:c r="G10" s="3" t="str">
        <x:f>IF('1_참가선수입력'!$E$29&lt;&gt;"",'1_참가선수입력'!$E$29,"")</x:f>
        <x:v/>
      </x:c>
      <x:c r="H10" s="3" t="str">
        <x:f>IF('1_참가선수입력'!$E$30&lt;&gt;"",'1_참가선수입력'!$E$30,"")</x:f>
        <x:v/>
      </x:c>
      <x:c r="I10" s="3" t="str">
        <x:f>IF('1_참가선수입력'!$E$31&lt;&gt;"",'1_참가선수입력'!$E$31,"")</x:f>
        <x:v/>
      </x:c>
      <x:c r="J10" s="3" t="e">
        <x:f>TEXTJOIN(" / ",TRUE,'1_참가선수입력'!C28:D31)</x:f>
        <x:v>#NAME?</x:v>
      </x:c>
      <x:c r="K10" s="4"/>
      <x:c r="L10" s="4"/>
    </x:row>
    <x:row r="11" spans="1:12">
      <x:c r="A11" s="3">
        <x:v>8</x:v>
      </x:c>
      <x:c r="B11" s="4" t="s">
        <x:v>15</x:v>
      </x:c>
      <x:c r="C11" s="4" t="s">
        <x:v>16</x:v>
      </x:c>
      <x:c r="D11" s="3" t="str">
        <x:f>IF(A11&lt;=26,"1부","2부")</x:f>
        <x:v>1부</x:v>
      </x:c>
      <x:c r="E11" s="7">
        <x:f>IF(A11&lt;=26,$O$2+(A11-1)*TIME(0,$O$4,0),$O$3+(A11-27)*TIME(0,$O$4,0))</x:f>
        <x:v>0.3305555555555556</x:v>
      </x:c>
      <x:c r="F11" s="3" t="str">
        <x:f>IF('1_참가선수입력'!$E$32&lt;&gt;"",'1_참가선수입력'!$E$32,"")</x:f>
        <x:v/>
      </x:c>
      <x:c r="G11" s="3" t="str">
        <x:f>IF('1_참가선수입력'!$E$33&lt;&gt;"",'1_참가선수입력'!$E$33,"")</x:f>
        <x:v/>
      </x:c>
      <x:c r="H11" s="3" t="str">
        <x:f>IF('1_참가선수입력'!$E$34&lt;&gt;"",'1_참가선수입력'!$E$34,"")</x:f>
        <x:v/>
      </x:c>
      <x:c r="I11" s="3" t="str">
        <x:f>IF('1_참가선수입력'!$E$35&lt;&gt;"",'1_참가선수입력'!$E$35,"")</x:f>
        <x:v/>
      </x:c>
      <x:c r="J11" s="3" t="e">
        <x:f>TEXTJOIN(" / ",TRUE,'1_참가선수입력'!C32:D35)</x:f>
        <x:v>#NAME?</x:v>
      </x:c>
      <x:c r="K11" s="4"/>
      <x:c r="L11" s="4"/>
    </x:row>
    <x:row r="12" spans="1:12">
      <x:c r="A12" s="3">
        <x:v>9</x:v>
      </x:c>
      <x:c r="B12" s="4" t="s">
        <x:v>15</x:v>
      </x:c>
      <x:c r="C12" s="4" t="s">
        <x:v>16</x:v>
      </x:c>
      <x:c r="D12" s="3" t="str">
        <x:f>IF(A12&lt;=26,"1부","2부")</x:f>
        <x:v>1부</x:v>
      </x:c>
      <x:c r="E12" s="7">
        <x:f>IF(A12&lt;=26,$O$2+(A12-1)*TIME(0,$O$4,0),$O$3+(A12-27)*TIME(0,$O$4,0))</x:f>
        <x:v>0.33611111111111114</x:v>
      </x:c>
      <x:c r="F12" s="3" t="str">
        <x:f>IF('1_참가선수입력'!$E$36&lt;&gt;"",'1_참가선수입력'!$E$36,"")</x:f>
        <x:v/>
      </x:c>
      <x:c r="G12" s="3" t="str">
        <x:f>IF('1_참가선수입력'!$E$37&lt;&gt;"",'1_참가선수입력'!$E$37,"")</x:f>
        <x:v/>
      </x:c>
      <x:c r="H12" s="3" t="str">
        <x:f>IF('1_참가선수입력'!$E$38&lt;&gt;"",'1_참가선수입력'!$E$38,"")</x:f>
        <x:v/>
      </x:c>
      <x:c r="I12" s="3" t="str">
        <x:f>IF('1_참가선수입력'!$E$39&lt;&gt;"",'1_참가선수입력'!$E$39,"")</x:f>
        <x:v/>
      </x:c>
      <x:c r="J12" s="3" t="e">
        <x:f>TEXTJOIN(" / ",TRUE,'1_참가선수입력'!C36:D39)</x:f>
        <x:v>#NAME?</x:v>
      </x:c>
      <x:c r="K12" s="4"/>
      <x:c r="L12" s="4"/>
    </x:row>
    <x:row r="13" spans="1:12">
      <x:c r="A13" s="3">
        <x:v>10</x:v>
      </x:c>
      <x:c r="B13" s="4" t="s">
        <x:v>15</x:v>
      </x:c>
      <x:c r="C13" s="4" t="s">
        <x:v>16</x:v>
      </x:c>
      <x:c r="D13" s="3" t="str">
        <x:f>IF(A13&lt;=26,"1부","2부")</x:f>
        <x:v>1부</x:v>
      </x:c>
      <x:c r="E13" s="7">
        <x:f>IF(A13&lt;=26,$O$2+(A13-1)*TIME(0,$O$4,0),$O$3+(A13-27)*TIME(0,$O$4,0))</x:f>
        <x:v>0.34166666666666667</x:v>
      </x:c>
      <x:c r="F13" s="3" t="str">
        <x:f>IF('1_참가선수입력'!$E$40&lt;&gt;"",'1_참가선수입력'!$E$40,"")</x:f>
        <x:v/>
      </x:c>
      <x:c r="G13" s="3" t="str">
        <x:f>IF('1_참가선수입력'!$E$41&lt;&gt;"",'1_참가선수입력'!$E$41,"")</x:f>
        <x:v/>
      </x:c>
      <x:c r="H13" s="3" t="str">
        <x:f>IF('1_참가선수입력'!$E$42&lt;&gt;"",'1_참가선수입력'!$E$42,"")</x:f>
        <x:v/>
      </x:c>
      <x:c r="I13" s="3" t="str">
        <x:f>IF('1_참가선수입력'!$E$43&lt;&gt;"",'1_참가선수입력'!$E$43,"")</x:f>
        <x:v/>
      </x:c>
      <x:c r="J13" s="3" t="e">
        <x:f>TEXTJOIN(" / ",TRUE,'1_참가선수입력'!C40:D43)</x:f>
        <x:v>#NAME?</x:v>
      </x:c>
      <x:c r="K13" s="4"/>
      <x:c r="L13" s="4"/>
    </x:row>
    <x:row r="14" spans="1:12">
      <x:c r="A14" s="3">
        <x:v>11</x:v>
      </x:c>
      <x:c r="B14" s="4" t="s">
        <x:v>15</x:v>
      </x:c>
      <x:c r="C14" s="4" t="s">
        <x:v>16</x:v>
      </x:c>
      <x:c r="D14" s="3" t="str">
        <x:f>IF(A14&lt;=26,"1부","2부")</x:f>
        <x:v>1부</x:v>
      </x:c>
      <x:c r="E14" s="7">
        <x:f>IF(A14&lt;=26,$O$2+(A14-1)*TIME(0,$O$4,0),$O$3+(A14-27)*TIME(0,$O$4,0))</x:f>
        <x:v>0.34722222222222227</x:v>
      </x:c>
      <x:c r="F14" s="3" t="str">
        <x:f>IF('1_참가선수입력'!$E$44&lt;&gt;"",'1_참가선수입력'!$E$44,"")</x:f>
        <x:v/>
      </x:c>
      <x:c r="G14" s="3" t="str">
        <x:f>IF('1_참가선수입력'!$E$45&lt;&gt;"",'1_참가선수입력'!$E$45,"")</x:f>
        <x:v/>
      </x:c>
      <x:c r="H14" s="3" t="str">
        <x:f>IF('1_참가선수입력'!$E$46&lt;&gt;"",'1_참가선수입력'!$E$46,"")</x:f>
        <x:v/>
      </x:c>
      <x:c r="I14" s="3" t="str">
        <x:f>IF('1_참가선수입력'!$E$47&lt;&gt;"",'1_참가선수입력'!$E$47,"")</x:f>
        <x:v/>
      </x:c>
      <x:c r="J14" s="3" t="e">
        <x:f>TEXTJOIN(" / ",TRUE,'1_참가선수입력'!C44:D47)</x:f>
        <x:v>#NAME?</x:v>
      </x:c>
      <x:c r="K14" s="4"/>
      <x:c r="L14" s="4"/>
    </x:row>
    <x:row r="15" spans="1:12">
      <x:c r="A15" s="3">
        <x:v>12</x:v>
      </x:c>
      <x:c r="B15" s="4" t="s">
        <x:v>15</x:v>
      </x:c>
      <x:c r="C15" s="4" t="s">
        <x:v>16</x:v>
      </x:c>
      <x:c r="D15" s="3" t="str">
        <x:f>IF(A15&lt;=26,"1부","2부")</x:f>
        <x:v>1부</x:v>
      </x:c>
      <x:c r="E15" s="7">
        <x:f>IF(A15&lt;=26,$O$2+(A15-1)*TIME(0,$O$4,0),$O$3+(A15-27)*TIME(0,$O$4,0))</x:f>
        <x:v>0.3527777777777778</x:v>
      </x:c>
      <x:c r="F15" s="3" t="str">
        <x:f>IF('1_참가선수입력'!$E$48&lt;&gt;"",'1_참가선수입력'!$E$48,"")</x:f>
        <x:v/>
      </x:c>
      <x:c r="G15" s="3" t="str">
        <x:f>IF('1_참가선수입력'!$E$49&lt;&gt;"",'1_참가선수입력'!$E$49,"")</x:f>
        <x:v/>
      </x:c>
      <x:c r="H15" s="3" t="str">
        <x:f>IF('1_참가선수입력'!$E$50&lt;&gt;"",'1_참가선수입력'!$E$50,"")</x:f>
        <x:v/>
      </x:c>
      <x:c r="I15" s="3" t="str">
        <x:f>IF('1_참가선수입력'!$E$51&lt;&gt;"",'1_참가선수입력'!$E$51,"")</x:f>
        <x:v/>
      </x:c>
      <x:c r="J15" s="3" t="e">
        <x:f>TEXTJOIN(" / ",TRUE,'1_참가선수입력'!C48:D51)</x:f>
        <x:v>#NAME?</x:v>
      </x:c>
      <x:c r="K15" s="4"/>
      <x:c r="L15" s="4"/>
    </x:row>
    <x:row r="16" spans="1:12">
      <x:c r="A16" s="3">
        <x:v>13</x:v>
      </x:c>
      <x:c r="B16" s="4" t="s">
        <x:v>15</x:v>
      </x:c>
      <x:c r="C16" s="4" t="s">
        <x:v>16</x:v>
      </x:c>
      <x:c r="D16" s="3" t="str">
        <x:f>IF(A16&lt;=26,"1부","2부")</x:f>
        <x:v>1부</x:v>
      </x:c>
      <x:c r="E16" s="7">
        <x:f>IF(A16&lt;=26,$O$2+(A16-1)*TIME(0,$O$4,0),$O$3+(A16-27)*TIME(0,$O$4,0))</x:f>
        <x:v>0.35833333333333334</x:v>
      </x:c>
      <x:c r="F16" s="3" t="str">
        <x:f>IF('1_참가선수입력'!$E$52&lt;&gt;"",'1_참가선수입력'!$E$52,"")</x:f>
        <x:v/>
      </x:c>
      <x:c r="G16" s="3" t="str">
        <x:f>IF('1_참가선수입력'!$E$53&lt;&gt;"",'1_참가선수입력'!$E$53,"")</x:f>
        <x:v/>
      </x:c>
      <x:c r="H16" s="3" t="str">
        <x:f>IF('1_참가선수입력'!$E$54&lt;&gt;"",'1_참가선수입력'!$E$54,"")</x:f>
        <x:v/>
      </x:c>
      <x:c r="I16" s="3" t="str">
        <x:f>IF('1_참가선수입력'!$E$55&lt;&gt;"",'1_참가선수입력'!$E$55,"")</x:f>
        <x:v/>
      </x:c>
      <x:c r="J16" s="3" t="e">
        <x:f>TEXTJOIN(" / ",TRUE,'1_참가선수입력'!C52:D55)</x:f>
        <x:v>#NAME?</x:v>
      </x:c>
      <x:c r="K16" s="4"/>
      <x:c r="L16" s="4"/>
    </x:row>
    <x:row r="17" spans="1:12">
      <x:c r="A17" s="3">
        <x:v>14</x:v>
      </x:c>
      <x:c r="B17" s="4" t="s">
        <x:v>15</x:v>
      </x:c>
      <x:c r="C17" s="4" t="s">
        <x:v>16</x:v>
      </x:c>
      <x:c r="D17" s="3" t="str">
        <x:f>IF(A17&lt;=26,"1부","2부")</x:f>
        <x:v>1부</x:v>
      </x:c>
      <x:c r="E17" s="7">
        <x:f>IF(A17&lt;=26,$O$2+(A17-1)*TIME(0,$O$4,0),$O$3+(A17-27)*TIME(0,$O$4,0))</x:f>
        <x:v>0.36388888888888893</x:v>
      </x:c>
      <x:c r="F17" s="3" t="str">
        <x:f>IF('1_참가선수입력'!$E$56&lt;&gt;"",'1_참가선수입력'!$E$56,"")</x:f>
        <x:v/>
      </x:c>
      <x:c r="G17" s="3" t="str">
        <x:f>IF('1_참가선수입력'!$E$57&lt;&gt;"",'1_참가선수입력'!$E$57,"")</x:f>
        <x:v/>
      </x:c>
      <x:c r="H17" s="3" t="str">
        <x:f>IF('1_참가선수입력'!$E$58&lt;&gt;"",'1_참가선수입력'!$E$58,"")</x:f>
        <x:v/>
      </x:c>
      <x:c r="I17" s="3" t="str">
        <x:f>IF('1_참가선수입력'!$E$59&lt;&gt;"",'1_참가선수입력'!$E$59,"")</x:f>
        <x:v/>
      </x:c>
      <x:c r="J17" s="3" t="e">
        <x:f>TEXTJOIN(" / ",TRUE,'1_참가선수입력'!C56:D59)</x:f>
        <x:v>#NAME?</x:v>
      </x:c>
      <x:c r="K17" s="4"/>
      <x:c r="L17" s="4"/>
    </x:row>
    <x:row r="18" spans="1:12">
      <x:c r="A18" s="3">
        <x:v>15</x:v>
      </x:c>
      <x:c r="B18" s="4" t="s">
        <x:v>15</x:v>
      </x:c>
      <x:c r="C18" s="4" t="s">
        <x:v>16</x:v>
      </x:c>
      <x:c r="D18" s="3" t="str">
        <x:f>IF(A18&lt;=26,"1부","2부")</x:f>
        <x:v>1부</x:v>
      </x:c>
      <x:c r="E18" s="7">
        <x:f>IF(A18&lt;=26,$O$2+(A18-1)*TIME(0,$O$4,0),$O$3+(A18-27)*TIME(0,$O$4,0))</x:f>
        <x:v>0.36944444444444446</x:v>
      </x:c>
      <x:c r="F18" s="3" t="str">
        <x:f>IF('1_참가선수입력'!$E$60&lt;&gt;"",'1_참가선수입력'!$E$60,"")</x:f>
        <x:v/>
      </x:c>
      <x:c r="G18" s="3" t="str">
        <x:f>IF('1_참가선수입력'!$E$61&lt;&gt;"",'1_참가선수입력'!$E$61,"")</x:f>
        <x:v/>
      </x:c>
      <x:c r="H18" s="3" t="str">
        <x:f>IF('1_참가선수입력'!$E$62&lt;&gt;"",'1_참가선수입력'!$E$62,"")</x:f>
        <x:v/>
      </x:c>
      <x:c r="I18" s="3" t="str">
        <x:f>IF('1_참가선수입력'!$E$63&lt;&gt;"",'1_참가선수입력'!$E$63,"")</x:f>
        <x:v/>
      </x:c>
      <x:c r="J18" s="3" t="e">
        <x:f>TEXTJOIN(" / ",TRUE,'1_참가선수입력'!C60:D63)</x:f>
        <x:v>#NAME?</x:v>
      </x:c>
      <x:c r="K18" s="4"/>
      <x:c r="L18" s="4"/>
    </x:row>
    <x:row r="19" spans="1:12">
      <x:c r="A19" s="3">
        <x:v>16</x:v>
      </x:c>
      <x:c r="B19" s="4" t="s">
        <x:v>15</x:v>
      </x:c>
      <x:c r="C19" s="4" t="s">
        <x:v>16</x:v>
      </x:c>
      <x:c r="D19" s="3" t="str">
        <x:f>IF(A19&lt;=26,"1부","2부")</x:f>
        <x:v>1부</x:v>
      </x:c>
      <x:c r="E19" s="7">
        <x:f>IF(A19&lt;=26,$O$2+(A19-1)*TIME(0,$O$4,0),$O$3+(A19-27)*TIME(0,$O$4,0))</x:f>
        <x:v>0.375</x:v>
      </x:c>
      <x:c r="F19" s="3" t="str">
        <x:f>IF('1_참가선수입력'!$E$64&lt;&gt;"",'1_참가선수입력'!$E$64,"")</x:f>
        <x:v/>
      </x:c>
      <x:c r="G19" s="3" t="str">
        <x:f>IF('1_참가선수입력'!$E$65&lt;&gt;"",'1_참가선수입력'!$E$65,"")</x:f>
        <x:v/>
      </x:c>
      <x:c r="H19" s="3" t="str">
        <x:f>IF('1_참가선수입력'!$E$66&lt;&gt;"",'1_참가선수입력'!$E$66,"")</x:f>
        <x:v/>
      </x:c>
      <x:c r="I19" s="3" t="str">
        <x:f>IF('1_참가선수입력'!$E$67&lt;&gt;"",'1_참가선수입력'!$E$67,"")</x:f>
        <x:v/>
      </x:c>
      <x:c r="J19" s="3" t="e">
        <x:f>TEXTJOIN(" / ",TRUE,'1_참가선수입력'!C64:D67)</x:f>
        <x:v>#NAME?</x:v>
      </x:c>
      <x:c r="K19" s="4"/>
      <x:c r="L19" s="4"/>
    </x:row>
    <x:row r="20" spans="1:12">
      <x:c r="A20" s="3">
        <x:v>17</x:v>
      </x:c>
      <x:c r="B20" s="4" t="s">
        <x:v>15</x:v>
      </x:c>
      <x:c r="C20" s="4" t="s">
        <x:v>16</x:v>
      </x:c>
      <x:c r="D20" s="3" t="str">
        <x:f>IF(A20&lt;=26,"1부","2부")</x:f>
        <x:v>1부</x:v>
      </x:c>
      <x:c r="E20" s="7">
        <x:f>IF(A20&lt;=26,$O$2+(A20-1)*TIME(0,$O$4,0),$O$3+(A20-27)*TIME(0,$O$4,0))</x:f>
        <x:v>0.38055555555555559</x:v>
      </x:c>
      <x:c r="F20" s="3" t="str">
        <x:f>IF('1_참가선수입력'!$E$68&lt;&gt;"",'1_참가선수입력'!$E$68,"")</x:f>
        <x:v/>
      </x:c>
      <x:c r="G20" s="3" t="str">
        <x:f>IF('1_참가선수입력'!$E$69&lt;&gt;"",'1_참가선수입력'!$E$69,"")</x:f>
        <x:v/>
      </x:c>
      <x:c r="H20" s="3" t="str">
        <x:f>IF('1_참가선수입력'!$E$70&lt;&gt;"",'1_참가선수입력'!$E$70,"")</x:f>
        <x:v/>
      </x:c>
      <x:c r="I20" s="3" t="str">
        <x:f>IF('1_참가선수입력'!$E$71&lt;&gt;"",'1_참가선수입력'!$E$71,"")</x:f>
        <x:v/>
      </x:c>
      <x:c r="J20" s="3" t="e">
        <x:f>TEXTJOIN(" / ",TRUE,'1_참가선수입력'!C68:D71)</x:f>
        <x:v>#NAME?</x:v>
      </x:c>
      <x:c r="K20" s="4"/>
      <x:c r="L20" s="4"/>
    </x:row>
    <x:row r="21" spans="1:12">
      <x:c r="A21" s="3">
        <x:v>18</x:v>
      </x:c>
      <x:c r="B21" s="4" t="s">
        <x:v>15</x:v>
      </x:c>
      <x:c r="C21" s="4" t="s">
        <x:v>16</x:v>
      </x:c>
      <x:c r="D21" s="3" t="str">
        <x:f>IF(A21&lt;=26,"1부","2부")</x:f>
        <x:v>1부</x:v>
      </x:c>
      <x:c r="E21" s="7">
        <x:f>IF(A21&lt;=26,$O$2+(A21-1)*TIME(0,$O$4,0),$O$3+(A21-27)*TIME(0,$O$4,0))</x:f>
        <x:v>0.38611111111111113</x:v>
      </x:c>
      <x:c r="F21" s="3" t="str">
        <x:f>IF('1_참가선수입력'!$E$72&lt;&gt;"",'1_참가선수입력'!$E$72,"")</x:f>
        <x:v/>
      </x:c>
      <x:c r="G21" s="3" t="str">
        <x:f>IF('1_참가선수입력'!$E$73&lt;&gt;"",'1_참가선수입력'!$E$73,"")</x:f>
        <x:v/>
      </x:c>
      <x:c r="H21" s="3" t="str">
        <x:f>IF('1_참가선수입력'!$E$74&lt;&gt;"",'1_참가선수입력'!$E$74,"")</x:f>
        <x:v/>
      </x:c>
      <x:c r="I21" s="3" t="str">
        <x:f>IF('1_참가선수입력'!$E$75&lt;&gt;"",'1_참가선수입력'!$E$75,"")</x:f>
        <x:v/>
      </x:c>
      <x:c r="J21" s="3" t="e">
        <x:f>TEXTJOIN(" / ",TRUE,'1_참가선수입력'!C72:D75)</x:f>
        <x:v>#NAME?</x:v>
      </x:c>
      <x:c r="K21" s="4"/>
      <x:c r="L21" s="4"/>
    </x:row>
    <x:row r="22" spans="1:12">
      <x:c r="A22" s="3">
        <x:v>19</x:v>
      </x:c>
      <x:c r="B22" s="4" t="s">
        <x:v>15</x:v>
      </x:c>
      <x:c r="C22" s="4" t="s">
        <x:v>16</x:v>
      </x:c>
      <x:c r="D22" s="3" t="str">
        <x:f>IF(A22&lt;=26,"1부","2부")</x:f>
        <x:v>1부</x:v>
      </x:c>
      <x:c r="E22" s="7">
        <x:f>IF(A22&lt;=26,$O$2+(A22-1)*TIME(0,$O$4,0),$O$3+(A22-27)*TIME(0,$O$4,0))</x:f>
        <x:v>0.39166666666666672</x:v>
      </x:c>
      <x:c r="F22" s="3" t="str">
        <x:f>IF('1_참가선수입력'!$E$76&lt;&gt;"",'1_참가선수입력'!$E$76,"")</x:f>
        <x:v/>
      </x:c>
      <x:c r="G22" s="3" t="str">
        <x:f>IF('1_참가선수입력'!$E$77&lt;&gt;"",'1_참가선수입력'!$E$77,"")</x:f>
        <x:v/>
      </x:c>
      <x:c r="H22" s="3" t="str">
        <x:f>IF('1_참가선수입력'!$E$78&lt;&gt;"",'1_참가선수입력'!$E$78,"")</x:f>
        <x:v/>
      </x:c>
      <x:c r="I22" s="3" t="str">
        <x:f>IF('1_참가선수입력'!$E$79&lt;&gt;"",'1_참가선수입력'!$E$79,"")</x:f>
        <x:v/>
      </x:c>
      <x:c r="J22" s="3" t="e">
        <x:f>TEXTJOIN(" / ",TRUE,'1_참가선수입력'!C76:D79)</x:f>
        <x:v>#NAME?</x:v>
      </x:c>
      <x:c r="K22" s="4"/>
      <x:c r="L22" s="4"/>
    </x:row>
    <x:row r="23" spans="1:12">
      <x:c r="A23" s="3">
        <x:v>20</x:v>
      </x:c>
      <x:c r="B23" s="4" t="s">
        <x:v>15</x:v>
      </x:c>
      <x:c r="C23" s="4" t="s">
        <x:v>16</x:v>
      </x:c>
      <x:c r="D23" s="3" t="str">
        <x:f>IF(A23&lt;=26,"1부","2부")</x:f>
        <x:v>1부</x:v>
      </x:c>
      <x:c r="E23" s="7">
        <x:f>IF(A23&lt;=26,$O$2+(A23-1)*TIME(0,$O$4,0),$O$3+(A23-27)*TIME(0,$O$4,0))</x:f>
        <x:v>0.39722222222222225</x:v>
      </x:c>
      <x:c r="F23" s="3" t="str">
        <x:f>IF('1_참가선수입력'!$E$80&lt;&gt;"",'1_참가선수입력'!$E$80,"")</x:f>
        <x:v/>
      </x:c>
      <x:c r="G23" s="3" t="str">
        <x:f>IF('1_참가선수입력'!$E$81&lt;&gt;"",'1_참가선수입력'!$E$81,"")</x:f>
        <x:v/>
      </x:c>
      <x:c r="H23" s="3" t="str">
        <x:f>IF('1_참가선수입력'!$E$82&lt;&gt;"",'1_참가선수입력'!$E$82,"")</x:f>
        <x:v/>
      </x:c>
      <x:c r="I23" s="3" t="str">
        <x:f>IF('1_참가선수입력'!$E$83&lt;&gt;"",'1_참가선수입력'!$E$83,"")</x:f>
        <x:v/>
      </x:c>
      <x:c r="J23" s="3" t="e">
        <x:f>TEXTJOIN(" / ",TRUE,'1_참가선수입력'!C80:D83)</x:f>
        <x:v>#NAME?</x:v>
      </x:c>
      <x:c r="K23" s="4"/>
      <x:c r="L23" s="4"/>
    </x:row>
    <x:row r="24" spans="1:12">
      <x:c r="A24" s="3">
        <x:v>21</x:v>
      </x:c>
      <x:c r="B24" s="4" t="s">
        <x:v>15</x:v>
      </x:c>
      <x:c r="C24" s="4" t="s">
        <x:v>16</x:v>
      </x:c>
      <x:c r="D24" s="3" t="str">
        <x:f>IF(A24&lt;=26,"1부","2부")</x:f>
        <x:v>1부</x:v>
      </x:c>
      <x:c r="E24" s="7">
        <x:f>IF(A24&lt;=26,$O$2+(A24-1)*TIME(0,$O$4,0),$O$3+(A24-27)*TIME(0,$O$4,0))</x:f>
        <x:v>0.40277777777777779</x:v>
      </x:c>
      <x:c r="F24" s="3" t="str">
        <x:f>IF('1_참가선수입력'!$E$84&lt;&gt;"",'1_참가선수입력'!$E$84,"")</x:f>
        <x:v/>
      </x:c>
      <x:c r="G24" s="3" t="str">
        <x:f>IF('1_참가선수입력'!$E$85&lt;&gt;"",'1_참가선수입력'!$E$85,"")</x:f>
        <x:v/>
      </x:c>
      <x:c r="H24" s="3" t="str">
        <x:f>IF('1_참가선수입력'!$E$86&lt;&gt;"",'1_참가선수입력'!$E$86,"")</x:f>
        <x:v/>
      </x:c>
      <x:c r="I24" s="3" t="str">
        <x:f>IF('1_참가선수입력'!$E$87&lt;&gt;"",'1_참가선수입력'!$E$87,"")</x:f>
        <x:v/>
      </x:c>
      <x:c r="J24" s="3" t="e">
        <x:f>TEXTJOIN(" / ",TRUE,'1_참가선수입력'!C84:D87)</x:f>
        <x:v>#NAME?</x:v>
      </x:c>
      <x:c r="K24" s="4"/>
      <x:c r="L24" s="4"/>
    </x:row>
    <x:row r="25" spans="1:12">
      <x:c r="A25" s="3">
        <x:v>22</x:v>
      </x:c>
      <x:c r="B25" s="4" t="s">
        <x:v>15</x:v>
      </x:c>
      <x:c r="C25" s="4" t="s">
        <x:v>16</x:v>
      </x:c>
      <x:c r="D25" s="3" t="str">
        <x:f>IF(A25&lt;=26,"1부","2부")</x:f>
        <x:v>1부</x:v>
      </x:c>
      <x:c r="E25" s="7">
        <x:f>IF(A25&lt;=26,$O$2+(A25-1)*TIME(0,$O$4,0),$O$3+(A25-27)*TIME(0,$O$4,0))</x:f>
        <x:v>0.40833333333333333</x:v>
      </x:c>
      <x:c r="F25" s="3" t="str">
        <x:f>IF('1_참가선수입력'!$E$88&lt;&gt;"",'1_참가선수입력'!$E$88,"")</x:f>
        <x:v/>
      </x:c>
      <x:c r="G25" s="3" t="str">
        <x:f>IF('1_참가선수입력'!$E$89&lt;&gt;"",'1_참가선수입력'!$E$89,"")</x:f>
        <x:v/>
      </x:c>
      <x:c r="H25" s="3" t="str">
        <x:f>IF('1_참가선수입력'!$E$90&lt;&gt;"",'1_참가선수입력'!$E$90,"")</x:f>
        <x:v/>
      </x:c>
      <x:c r="I25" s="3" t="str">
        <x:f>IF('1_참가선수입력'!$E$91&lt;&gt;"",'1_참가선수입력'!$E$91,"")</x:f>
        <x:v/>
      </x:c>
      <x:c r="J25" s="3" t="e">
        <x:f>TEXTJOIN(" / ",TRUE,'1_참가선수입력'!C88:D91)</x:f>
        <x:v>#NAME?</x:v>
      </x:c>
      <x:c r="K25" s="4"/>
      <x:c r="L25" s="4"/>
    </x:row>
    <x:row r="26" spans="1:12">
      <x:c r="A26" s="3">
        <x:v>23</x:v>
      </x:c>
      <x:c r="B26" s="4" t="s">
        <x:v>15</x:v>
      </x:c>
      <x:c r="C26" s="4" t="s">
        <x:v>16</x:v>
      </x:c>
      <x:c r="D26" s="3" t="str">
        <x:f>IF(A26&lt;=26,"1부","2부")</x:f>
        <x:v>1부</x:v>
      </x:c>
      <x:c r="E26" s="7">
        <x:f>IF(A26&lt;=26,$O$2+(A26-1)*TIME(0,$O$4,0),$O$3+(A26-27)*TIME(0,$O$4,0))</x:f>
        <x:v>0.41388888888888892</x:v>
      </x:c>
      <x:c r="F26" s="3" t="str">
        <x:f>IF('1_참가선수입력'!$E$92&lt;&gt;"",'1_참가선수입력'!$E$92,"")</x:f>
        <x:v/>
      </x:c>
      <x:c r="G26" s="3" t="str">
        <x:f>IF('1_참가선수입력'!$E$93&lt;&gt;"",'1_참가선수입력'!$E$93,"")</x:f>
        <x:v/>
      </x:c>
      <x:c r="H26" s="3" t="str">
        <x:f>IF('1_참가선수입력'!$E$94&lt;&gt;"",'1_참가선수입력'!$E$94,"")</x:f>
        <x:v/>
      </x:c>
      <x:c r="I26" s="3" t="str">
        <x:f>IF('1_참가선수입력'!$E$95&lt;&gt;"",'1_참가선수입력'!$E$95,"")</x:f>
        <x:v/>
      </x:c>
      <x:c r="J26" s="3" t="e">
        <x:f>TEXTJOIN(" / ",TRUE,'1_참가선수입력'!C92:D95)</x:f>
        <x:v>#NAME?</x:v>
      </x:c>
      <x:c r="K26" s="4"/>
      <x:c r="L26" s="4"/>
    </x:row>
    <x:row r="27" spans="1:12">
      <x:c r="A27" s="3">
        <x:v>24</x:v>
      </x:c>
      <x:c r="B27" s="4" t="s">
        <x:v>15</x:v>
      </x:c>
      <x:c r="C27" s="4" t="s">
        <x:v>16</x:v>
      </x:c>
      <x:c r="D27" s="3" t="str">
        <x:f>IF(A27&lt;=26,"1부","2부")</x:f>
        <x:v>1부</x:v>
      </x:c>
      <x:c r="E27" s="7">
        <x:f>IF(A27&lt;=26,$O$2+(A27-1)*TIME(0,$O$4,0),$O$3+(A27-27)*TIME(0,$O$4,0))</x:f>
        <x:v>0.41944444444444451</x:v>
      </x:c>
      <x:c r="F27" s="3" t="str">
        <x:f>IF('1_참가선수입력'!$E$96&lt;&gt;"",'1_참가선수입력'!$E$96,"")</x:f>
        <x:v/>
      </x:c>
      <x:c r="G27" s="3" t="str">
        <x:f>IF('1_참가선수입력'!$E$97&lt;&gt;"",'1_참가선수입력'!$E$97,"")</x:f>
        <x:v/>
      </x:c>
      <x:c r="H27" s="3" t="str">
        <x:f>IF('1_참가선수입력'!$E$98&lt;&gt;"",'1_참가선수입력'!$E$98,"")</x:f>
        <x:v/>
      </x:c>
      <x:c r="I27" s="3" t="str">
        <x:f>IF('1_참가선수입력'!$E$99&lt;&gt;"",'1_참가선수입력'!$E$99,"")</x:f>
        <x:v/>
      </x:c>
      <x:c r="J27" s="3" t="e">
        <x:f>TEXTJOIN(" / ",TRUE,'1_참가선수입력'!C96:D99)</x:f>
        <x:v>#NAME?</x:v>
      </x:c>
      <x:c r="K27" s="4"/>
      <x:c r="L27" s="4"/>
    </x:row>
    <x:row r="28" spans="1:12">
      <x:c r="A28" s="3">
        <x:v>25</x:v>
      </x:c>
      <x:c r="B28" s="4" t="s">
        <x:v>15</x:v>
      </x:c>
      <x:c r="C28" s="4" t="s">
        <x:v>16</x:v>
      </x:c>
      <x:c r="D28" s="3" t="str">
        <x:f>IF(A28&lt;=26,"1부","2부")</x:f>
        <x:v>1부</x:v>
      </x:c>
      <x:c r="E28" s="7">
        <x:f>IF(A28&lt;=26,$O$2+(A28-1)*TIME(0,$O$4,0),$O$3+(A28-27)*TIME(0,$O$4,0))</x:f>
        <x:v>0.42500000000000004</x:v>
      </x:c>
      <x:c r="F28" s="3" t="str">
        <x:f>IF('1_참가선수입력'!$E$100&lt;&gt;"",'1_참가선수입력'!$E$100,"")</x:f>
        <x:v/>
      </x:c>
      <x:c r="G28" s="3" t="str">
        <x:f>IF('1_참가선수입력'!$E$101&lt;&gt;"",'1_참가선수입력'!$E$101,"")</x:f>
        <x:v/>
      </x:c>
      <x:c r="H28" s="3" t="str">
        <x:f>IF('1_참가선수입력'!$E$102&lt;&gt;"",'1_참가선수입력'!$E$102,"")</x:f>
        <x:v/>
      </x:c>
      <x:c r="I28" s="3" t="str">
        <x:f>IF('1_참가선수입력'!$E$103&lt;&gt;"",'1_참가선수입력'!$E$103,"")</x:f>
        <x:v/>
      </x:c>
      <x:c r="J28" s="3" t="e">
        <x:f>TEXTJOIN(" / ",TRUE,'1_참가선수입력'!C100:D103)</x:f>
        <x:v>#NAME?</x:v>
      </x:c>
      <x:c r="K28" s="4"/>
      <x:c r="L28" s="4"/>
    </x:row>
    <x:row r="29" spans="1:12">
      <x:c r="A29" s="3">
        <x:v>26</x:v>
      </x:c>
      <x:c r="B29" s="4" t="s">
        <x:v>15</x:v>
      </x:c>
      <x:c r="C29" s="4" t="s">
        <x:v>16</x:v>
      </x:c>
      <x:c r="D29" s="3" t="str">
        <x:f>IF(A29&lt;=26,"1부","2부")</x:f>
        <x:v>1부</x:v>
      </x:c>
      <x:c r="E29" s="7">
        <x:f>IF(A29&lt;=26,$O$2+(A29-1)*TIME(0,$O$4,0),$O$3+(A29-27)*TIME(0,$O$4,0))</x:f>
        <x:v>0.43055555555555558</x:v>
      </x:c>
      <x:c r="F29" s="3" t="str">
        <x:f>IF('1_참가선수입력'!$E$104&lt;&gt;"",'1_참가선수입력'!$E$104,"")</x:f>
        <x:v/>
      </x:c>
      <x:c r="G29" s="3" t="str">
        <x:f>IF('1_참가선수입력'!$E$105&lt;&gt;"",'1_참가선수입력'!$E$105,"")</x:f>
        <x:v/>
      </x:c>
      <x:c r="H29" s="3" t="str">
        <x:f>IF('1_참가선수입력'!$E$106&lt;&gt;"",'1_참가선수입력'!$E$106,"")</x:f>
        <x:v/>
      </x:c>
      <x:c r="I29" s="3" t="str">
        <x:f>IF('1_참가선수입력'!$E$107&lt;&gt;"",'1_참가선수입력'!$E$107,"")</x:f>
        <x:v/>
      </x:c>
      <x:c r="J29" s="3" t="e">
        <x:f>TEXTJOIN(" / ",TRUE,'1_참가선수입력'!C104:D107)</x:f>
        <x:v>#NAME?</x:v>
      </x:c>
      <x:c r="K29" s="4"/>
      <x:c r="L29" s="4"/>
    </x:row>
    <x:row r="30" spans="1:12">
      <x:c r="A30" s="3">
        <x:v>27</x:v>
      </x:c>
      <x:c r="B30" s="4" t="s">
        <x:v>15</x:v>
      </x:c>
      <x:c r="C30" s="4" t="s">
        <x:v>16</x:v>
      </x:c>
      <x:c r="D30" s="3" t="str">
        <x:f>IF(A30&lt;=26,"1부","2부")</x:f>
        <x:v>2부</x:v>
      </x:c>
      <x:c r="E30" s="7">
        <x:f>IF(A30&lt;=26,$O$2+(A30-1)*TIME(0,$O$4,0),$O$3+(A30-27)*TIME(0,$O$4,0))</x:f>
        <x:v>0.47916666666666669</x:v>
      </x:c>
      <x:c r="F30" s="3" t="str">
        <x:f>IF('1_참가선수입력'!$E$108&lt;&gt;"",'1_참가선수입력'!$E$108,"")</x:f>
        <x:v/>
      </x:c>
      <x:c r="G30" s="3" t="str">
        <x:f>IF('1_참가선수입력'!$E$109&lt;&gt;"",'1_참가선수입력'!$E$109,"")</x:f>
        <x:v/>
      </x:c>
      <x:c r="H30" s="3" t="str">
        <x:f>IF('1_참가선수입력'!$E$110&lt;&gt;"",'1_참가선수입력'!$E$110,"")</x:f>
        <x:v/>
      </x:c>
      <x:c r="I30" s="3" t="str">
        <x:f>IF('1_참가선수입력'!$E$111&lt;&gt;"",'1_참가선수입력'!$E$111,"")</x:f>
        <x:v/>
      </x:c>
      <x:c r="J30" s="3" t="e">
        <x:f>TEXTJOIN(" / ",TRUE,'1_참가선수입력'!C108:D111)</x:f>
        <x:v>#NAME?</x:v>
      </x:c>
      <x:c r="K30" s="4"/>
      <x:c r="L30" s="4"/>
    </x:row>
    <x:row r="31" spans="1:12">
      <x:c r="A31" s="3">
        <x:v>28</x:v>
      </x:c>
      <x:c r="B31" s="4" t="s">
        <x:v>15</x:v>
      </x:c>
      <x:c r="C31" s="4" t="s">
        <x:v>16</x:v>
      </x:c>
      <x:c r="D31" s="3" t="str">
        <x:f>IF(A31&lt;=26,"1부","2부")</x:f>
        <x:v>2부</x:v>
      </x:c>
      <x:c r="E31" s="7">
        <x:f>IF(A31&lt;=26,$O$2+(A31-1)*TIME(0,$O$4,0),$O$3+(A31-27)*TIME(0,$O$4,0))</x:f>
        <x:v>0.48472222222222222</x:v>
      </x:c>
      <x:c r="F31" s="3" t="str">
        <x:f>IF('1_참가선수입력'!$E$112&lt;&gt;"",'1_참가선수입력'!$E$112,"")</x:f>
        <x:v/>
      </x:c>
      <x:c r="G31" s="3" t="str">
        <x:f>IF('1_참가선수입력'!$E$113&lt;&gt;"",'1_참가선수입력'!$E$113,"")</x:f>
        <x:v/>
      </x:c>
      <x:c r="H31" s="3" t="str">
        <x:f>IF('1_참가선수입력'!$E$114&lt;&gt;"",'1_참가선수입력'!$E$114,"")</x:f>
        <x:v/>
      </x:c>
      <x:c r="I31" s="3" t="str">
        <x:f>IF('1_참가선수입력'!$E$115&lt;&gt;"",'1_참가선수입력'!$E$115,"")</x:f>
        <x:v/>
      </x:c>
      <x:c r="J31" s="3" t="e">
        <x:f>TEXTJOIN(" / ",TRUE,'1_참가선수입력'!C112:D115)</x:f>
        <x:v>#NAME?</x:v>
      </x:c>
      <x:c r="K31" s="4"/>
      <x:c r="L31" s="4"/>
    </x:row>
    <x:row r="32" spans="1:12">
      <x:c r="A32" s="3">
        <x:v>29</x:v>
      </x:c>
      <x:c r="B32" s="4" t="s">
        <x:v>15</x:v>
      </x:c>
      <x:c r="C32" s="4" t="s">
        <x:v>16</x:v>
      </x:c>
      <x:c r="D32" s="3" t="str">
        <x:f>IF(A32&lt;=26,"1부","2부")</x:f>
        <x:v>2부</x:v>
      </x:c>
      <x:c r="E32" s="7">
        <x:f>IF(A32&lt;=26,$O$2+(A32-1)*TIME(0,$O$4,0),$O$3+(A32-27)*TIME(0,$O$4,0))</x:f>
        <x:v>0.49027777777777781</x:v>
      </x:c>
      <x:c r="F32" s="3" t="str">
        <x:f>IF('1_참가선수입력'!$E$116&lt;&gt;"",'1_참가선수입력'!$E$116,"")</x:f>
        <x:v/>
      </x:c>
      <x:c r="G32" s="3" t="str">
        <x:f>IF('1_참가선수입력'!$E$117&lt;&gt;"",'1_참가선수입력'!$E$117,"")</x:f>
        <x:v/>
      </x:c>
      <x:c r="H32" s="3" t="str">
        <x:f>IF('1_참가선수입력'!$E$118&lt;&gt;"",'1_참가선수입력'!$E$118,"")</x:f>
        <x:v/>
      </x:c>
      <x:c r="I32" s="3" t="str">
        <x:f>IF('1_참가선수입력'!$E$119&lt;&gt;"",'1_참가선수입력'!$E$119,"")</x:f>
        <x:v/>
      </x:c>
      <x:c r="J32" s="3" t="e">
        <x:f>TEXTJOIN(" / ",TRUE,'1_참가선수입력'!C116:D119)</x:f>
        <x:v>#NAME?</x:v>
      </x:c>
      <x:c r="K32" s="4"/>
      <x:c r="L32" s="4"/>
    </x:row>
    <x:row r="33" spans="1:12">
      <x:c r="A33" s="3">
        <x:v>30</x:v>
      </x:c>
      <x:c r="B33" s="4" t="s">
        <x:v>15</x:v>
      </x:c>
      <x:c r="C33" s="4" t="s">
        <x:v>16</x:v>
      </x:c>
      <x:c r="D33" s="3" t="str">
        <x:f>IF(A33&lt;=26,"1부","2부")</x:f>
        <x:v>2부</x:v>
      </x:c>
      <x:c r="E33" s="7">
        <x:f>IF(A33&lt;=26,$O$2+(A33-1)*TIME(0,$O$4,0),$O$3+(A33-27)*TIME(0,$O$4,0))</x:f>
        <x:v>0.49583333333333335</x:v>
      </x:c>
      <x:c r="F33" s="3" t="str">
        <x:f>IF('1_참가선수입력'!$E$120&lt;&gt;"",'1_참가선수입력'!$E$120,"")</x:f>
        <x:v/>
      </x:c>
      <x:c r="G33" s="3" t="str">
        <x:f>IF('1_참가선수입력'!$E$121&lt;&gt;"",'1_참가선수입력'!$E$121,"")</x:f>
        <x:v/>
      </x:c>
      <x:c r="H33" s="3" t="str">
        <x:f>IF('1_참가선수입력'!$E$122&lt;&gt;"",'1_참가선수입력'!$E$122,"")</x:f>
        <x:v/>
      </x:c>
      <x:c r="I33" s="3" t="str">
        <x:f>IF('1_참가선수입력'!$E$123&lt;&gt;"",'1_참가선수입력'!$E$123,"")</x:f>
        <x:v/>
      </x:c>
      <x:c r="J33" s="3" t="e">
        <x:f>TEXTJOIN(" / ",TRUE,'1_참가선수입력'!C120:D123)</x:f>
        <x:v>#NAME?</x:v>
      </x:c>
      <x:c r="K33" s="4"/>
      <x:c r="L33" s="4"/>
    </x:row>
    <x:row r="34" spans="1:12">
      <x:c r="A34" s="3">
        <x:v>31</x:v>
      </x:c>
      <x:c r="B34" s="4" t="s">
        <x:v>15</x:v>
      </x:c>
      <x:c r="C34" s="4" t="s">
        <x:v>16</x:v>
      </x:c>
      <x:c r="D34" s="3" t="str">
        <x:f>IF(A34&lt;=26,"1부","2부")</x:f>
        <x:v>2부</x:v>
      </x:c>
      <x:c r="E34" s="7">
        <x:f>IF(A34&lt;=26,$O$2+(A34-1)*TIME(0,$O$4,0),$O$3+(A34-27)*TIME(0,$O$4,0))</x:f>
        <x:v>0.50138888888888888</x:v>
      </x:c>
      <x:c r="F34" s="3" t="str">
        <x:f>IF('1_참가선수입력'!$E$124&lt;&gt;"",'1_참가선수입력'!$E$124,"")</x:f>
        <x:v/>
      </x:c>
      <x:c r="G34" s="3" t="str">
        <x:f>IF('1_참가선수입력'!$E$125&lt;&gt;"",'1_참가선수입력'!$E$125,"")</x:f>
        <x:v/>
      </x:c>
      <x:c r="H34" s="3" t="str">
        <x:f>IF('1_참가선수입력'!$E$126&lt;&gt;"",'1_참가선수입력'!$E$126,"")</x:f>
        <x:v/>
      </x:c>
      <x:c r="I34" s="3" t="str">
        <x:f>IF('1_참가선수입력'!$E$127&lt;&gt;"",'1_참가선수입력'!$E$127,"")</x:f>
        <x:v/>
      </x:c>
      <x:c r="J34" s="3" t="e">
        <x:f>TEXTJOIN(" / ",TRUE,'1_참가선수입력'!C124:D127)</x:f>
        <x:v>#NAME?</x:v>
      </x:c>
      <x:c r="K34" s="4"/>
      <x:c r="L34" s="4"/>
    </x:row>
    <x:row r="35" spans="1:12">
      <x:c r="A35" s="3">
        <x:v>32</x:v>
      </x:c>
      <x:c r="B35" s="4" t="s">
        <x:v>15</x:v>
      </x:c>
      <x:c r="C35" s="4" t="s">
        <x:v>16</x:v>
      </x:c>
      <x:c r="D35" s="3" t="str">
        <x:f>IF(A35&lt;=26,"1부","2부")</x:f>
        <x:v>2부</x:v>
      </x:c>
      <x:c r="E35" s="7">
        <x:f>IF(A35&lt;=26,$O$2+(A35-1)*TIME(0,$O$4,0),$O$3+(A35-27)*TIME(0,$O$4,0))</x:f>
        <x:v>0.50694444444444442</x:v>
      </x:c>
      <x:c r="F35" s="3" t="str">
        <x:f>IF('1_참가선수입력'!$E$128&lt;&gt;"",'1_참가선수입력'!$E$128,"")</x:f>
        <x:v/>
      </x:c>
      <x:c r="G35" s="3" t="str">
        <x:f>IF('1_참가선수입력'!$E$129&lt;&gt;"",'1_참가선수입력'!$E$129,"")</x:f>
        <x:v/>
      </x:c>
      <x:c r="H35" s="3" t="str">
        <x:f>IF('1_참가선수입력'!$E$130&lt;&gt;"",'1_참가선수입력'!$E$130,"")</x:f>
        <x:v/>
      </x:c>
      <x:c r="I35" s="3" t="str">
        <x:f>IF('1_참가선수입력'!$E$131&lt;&gt;"",'1_참가선수입력'!$E$131,"")</x:f>
        <x:v/>
      </x:c>
      <x:c r="J35" s="3" t="e">
        <x:f>TEXTJOIN(" / ",TRUE,'1_참가선수입력'!C128:D131)</x:f>
        <x:v>#NAME?</x:v>
      </x:c>
      <x:c r="K35" s="4"/>
      <x:c r="L35" s="4"/>
    </x:row>
    <x:row r="36" spans="1:12">
      <x:c r="A36" s="3">
        <x:v>33</x:v>
      </x:c>
      <x:c r="B36" s="4" t="s">
        <x:v>15</x:v>
      </x:c>
      <x:c r="C36" s="4" t="s">
        <x:v>16</x:v>
      </x:c>
      <x:c r="D36" s="3" t="str">
        <x:f>IF(A36&lt;=26,"1부","2부")</x:f>
        <x:v>2부</x:v>
      </x:c>
      <x:c r="E36" s="7">
        <x:f>IF(A36&lt;=26,$O$2+(A36-1)*TIME(0,$O$4,0),$O$3+(A36-27)*TIME(0,$O$4,0))</x:f>
        <x:v>0.51250000000000007</x:v>
      </x:c>
      <x:c r="F36" s="3" t="str">
        <x:f>IF('1_참가선수입력'!$E$132&lt;&gt;"",'1_참가선수입력'!$E$132,"")</x:f>
        <x:v/>
      </x:c>
      <x:c r="G36" s="3" t="str">
        <x:f>IF('1_참가선수입력'!$E$133&lt;&gt;"",'1_참가선수입력'!$E$133,"")</x:f>
        <x:v/>
      </x:c>
      <x:c r="H36" s="3" t="str">
        <x:f>IF('1_참가선수입력'!$E$134&lt;&gt;"",'1_참가선수입력'!$E$134,"")</x:f>
        <x:v/>
      </x:c>
      <x:c r="I36" s="3" t="str">
        <x:f>IF('1_참가선수입력'!$E$135&lt;&gt;"",'1_참가선수입력'!$E$135,"")</x:f>
        <x:v/>
      </x:c>
      <x:c r="J36" s="3" t="e">
        <x:f>TEXTJOIN(" / ",TRUE,'1_참가선수입력'!C132:D135)</x:f>
        <x:v>#NAME?</x:v>
      </x:c>
      <x:c r="K36" s="4"/>
      <x:c r="L36" s="4"/>
    </x:row>
    <x:row r="37" spans="1:12">
      <x:c r="A37" s="3">
        <x:v>34</x:v>
      </x:c>
      <x:c r="B37" s="4" t="s">
        <x:v>15</x:v>
      </x:c>
      <x:c r="C37" s="4" t="s">
        <x:v>16</x:v>
      </x:c>
      <x:c r="D37" s="3" t="str">
        <x:f>IF(A37&lt;=26,"1부","2부")</x:f>
        <x:v>2부</x:v>
      </x:c>
      <x:c r="E37" s="7">
        <x:f>IF(A37&lt;=26,$O$2+(A37-1)*TIME(0,$O$4,0),$O$3+(A37-27)*TIME(0,$O$4,0))</x:f>
        <x:v>0.5180555555555556</x:v>
      </x:c>
      <x:c r="F37" s="3" t="str">
        <x:f>IF('1_참가선수입력'!$E$136&lt;&gt;"",'1_참가선수입력'!$E$136,"")</x:f>
        <x:v/>
      </x:c>
      <x:c r="G37" s="3" t="str">
        <x:f>IF('1_참가선수입력'!$E$137&lt;&gt;"",'1_참가선수입력'!$E$137,"")</x:f>
        <x:v/>
      </x:c>
      <x:c r="H37" s="3" t="str">
        <x:f>IF('1_참가선수입력'!$E$138&lt;&gt;"",'1_참가선수입력'!$E$138,"")</x:f>
        <x:v/>
      </x:c>
      <x:c r="I37" s="3" t="str">
        <x:f>IF('1_참가선수입력'!$E$139&lt;&gt;"",'1_참가선수입력'!$E$139,"")</x:f>
        <x:v/>
      </x:c>
      <x:c r="J37" s="3" t="e">
        <x:f>TEXTJOIN(" / ",TRUE,'1_참가선수입력'!C136:D139)</x:f>
        <x:v>#NAME?</x:v>
      </x:c>
      <x:c r="K37" s="4"/>
      <x:c r="L37" s="4"/>
    </x:row>
    <x:row r="38" spans="1:12">
      <x:c r="A38" s="3">
        <x:v>35</x:v>
      </x:c>
      <x:c r="B38" s="4" t="s">
        <x:v>15</x:v>
      </x:c>
      <x:c r="C38" s="4" t="s">
        <x:v>16</x:v>
      </x:c>
      <x:c r="D38" s="3" t="str">
        <x:f>IF(A38&lt;=26,"1부","2부")</x:f>
        <x:v>2부</x:v>
      </x:c>
      <x:c r="E38" s="7">
        <x:f>IF(A38&lt;=26,$O$2+(A38-1)*TIME(0,$O$4,0),$O$3+(A38-27)*TIME(0,$O$4,0))</x:f>
        <x:v>0.52361111111111114</x:v>
      </x:c>
      <x:c r="F38" s="3" t="str">
        <x:f>IF('1_참가선수입력'!$E$140&lt;&gt;"",'1_참가선수입력'!$E$140,"")</x:f>
        <x:v/>
      </x:c>
      <x:c r="G38" s="3" t="str">
        <x:f>IF('1_참가선수입력'!$E$141&lt;&gt;"",'1_참가선수입력'!$E$141,"")</x:f>
        <x:v/>
      </x:c>
      <x:c r="H38" s="3" t="str">
        <x:f>IF('1_참가선수입력'!$E$142&lt;&gt;"",'1_참가선수입력'!$E$142,"")</x:f>
        <x:v/>
      </x:c>
      <x:c r="I38" s="3" t="str">
        <x:f>IF('1_참가선수입력'!$E$143&lt;&gt;"",'1_참가선수입력'!$E$143,"")</x:f>
        <x:v/>
      </x:c>
      <x:c r="J38" s="3" t="e">
        <x:f>TEXTJOIN(" / ",TRUE,'1_참가선수입력'!C140:D143)</x:f>
        <x:v>#NAME?</x:v>
      </x:c>
      <x:c r="K38" s="4"/>
      <x:c r="L38" s="4"/>
    </x:row>
    <x:row r="39" spans="1:12">
      <x:c r="A39" s="3">
        <x:v>36</x:v>
      </x:c>
      <x:c r="B39" s="4" t="s">
        <x:v>15</x:v>
      </x:c>
      <x:c r="C39" s="4" t="s">
        <x:v>16</x:v>
      </x:c>
      <x:c r="D39" s="3" t="str">
        <x:f>IF(A39&lt;=26,"1부","2부")</x:f>
        <x:v>2부</x:v>
      </x:c>
      <x:c r="E39" s="7">
        <x:f>IF(A39&lt;=26,$O$2+(A39-1)*TIME(0,$O$4,0),$O$3+(A39-27)*TIME(0,$O$4,0))</x:f>
        <x:v>0.52916666666666667</x:v>
      </x:c>
      <x:c r="F39" s="3" t="str">
        <x:f>IF('1_참가선수입력'!$E$144&lt;&gt;"",'1_참가선수입력'!$E$144,"")</x:f>
        <x:v/>
      </x:c>
      <x:c r="G39" s="3" t="str">
        <x:f>IF('1_참가선수입력'!$E$145&lt;&gt;"",'1_참가선수입력'!$E$145,"")</x:f>
        <x:v/>
      </x:c>
      <x:c r="H39" s="3" t="str">
        <x:f>IF('1_참가선수입력'!$E$146&lt;&gt;"",'1_참가선수입력'!$E$146,"")</x:f>
        <x:v/>
      </x:c>
      <x:c r="I39" s="3" t="str">
        <x:f>IF('1_참가선수입력'!$E$147&lt;&gt;"",'1_참가선수입력'!$E$147,"")</x:f>
        <x:v/>
      </x:c>
      <x:c r="J39" s="3" t="e">
        <x:f>TEXTJOIN(" / ",TRUE,'1_참가선수입력'!C144:D147)</x:f>
        <x:v>#NAME?</x:v>
      </x:c>
      <x:c r="K39" s="4"/>
      <x:c r="L39" s="4"/>
    </x:row>
    <x:row r="40" spans="1:12">
      <x:c r="A40" s="3">
        <x:v>37</x:v>
      </x:c>
      <x:c r="B40" s="4" t="s">
        <x:v>15</x:v>
      </x:c>
      <x:c r="C40" s="4" t="s">
        <x:v>16</x:v>
      </x:c>
      <x:c r="D40" s="3" t="str">
        <x:f>IF(A40&lt;=26,"1부","2부")</x:f>
        <x:v>2부</x:v>
      </x:c>
      <x:c r="E40" s="7">
        <x:f>IF(A40&lt;=26,$O$2+(A40-1)*TIME(0,$O$4,0),$O$3+(A40-27)*TIME(0,$O$4,0))</x:f>
        <x:v>0.53472222222222221</x:v>
      </x:c>
      <x:c r="F40" s="3" t="str">
        <x:f>IF('1_참가선수입력'!$E$148&lt;&gt;"",'1_참가선수입력'!$E$148,"")</x:f>
        <x:v/>
      </x:c>
      <x:c r="G40" s="3" t="str">
        <x:f>IF('1_참가선수입력'!$E$149&lt;&gt;"",'1_참가선수입력'!$E$149,"")</x:f>
        <x:v/>
      </x:c>
      <x:c r="H40" s="3" t="str">
        <x:f>IF('1_참가선수입력'!$E$150&lt;&gt;"",'1_참가선수입력'!$E$150,"")</x:f>
        <x:v/>
      </x:c>
      <x:c r="I40" s="3" t="str">
        <x:f>IF('1_참가선수입력'!$E$151&lt;&gt;"",'1_참가선수입력'!$E$151,"")</x:f>
        <x:v/>
      </x:c>
      <x:c r="J40" s="3" t="e">
        <x:f>TEXTJOIN(" / ",TRUE,'1_참가선수입력'!C148:D151)</x:f>
        <x:v>#NAME?</x:v>
      </x:c>
      <x:c r="K40" s="4"/>
      <x:c r="L40" s="4"/>
    </x:row>
    <x:row r="41" spans="1:12">
      <x:c r="A41" s="3">
        <x:v>38</x:v>
      </x:c>
      <x:c r="B41" s="4" t="s">
        <x:v>15</x:v>
      </x:c>
      <x:c r="C41" s="4" t="s">
        <x:v>16</x:v>
      </x:c>
      <x:c r="D41" s="3" t="str">
        <x:f>IF(A41&lt;=26,"1부","2부")</x:f>
        <x:v>2부</x:v>
      </x:c>
      <x:c r="E41" s="7">
        <x:f>IF(A41&lt;=26,$O$2+(A41-1)*TIME(0,$O$4,0),$O$3+(A41-27)*TIME(0,$O$4,0))</x:f>
        <x:v>0.54027777777777786</x:v>
      </x:c>
      <x:c r="F41" s="3" t="str">
        <x:f>IF('1_참가선수입력'!$E$152&lt;&gt;"",'1_참가선수입력'!$E$152,"")</x:f>
        <x:v/>
      </x:c>
      <x:c r="G41" s="3" t="str">
        <x:f>IF('1_참가선수입력'!$E$153&lt;&gt;"",'1_참가선수입력'!$E$153,"")</x:f>
        <x:v/>
      </x:c>
      <x:c r="H41" s="3" t="str">
        <x:f>IF('1_참가선수입력'!$E$154&lt;&gt;"",'1_참가선수입력'!$E$154,"")</x:f>
        <x:v/>
      </x:c>
      <x:c r="I41" s="3" t="str">
        <x:f>IF('1_참가선수입력'!$E$155&lt;&gt;"",'1_참가선수입력'!$E$155,"")</x:f>
        <x:v/>
      </x:c>
      <x:c r="J41" s="3" t="e">
        <x:f>TEXTJOIN(" / ",TRUE,'1_참가선수입력'!C152:D155)</x:f>
        <x:v>#NAME?</x:v>
      </x:c>
      <x:c r="K41" s="4"/>
      <x:c r="L41" s="4"/>
    </x:row>
    <x:row r="42" spans="1:12">
      <x:c r="A42" s="3">
        <x:v>39</x:v>
      </x:c>
      <x:c r="B42" s="4" t="s">
        <x:v>15</x:v>
      </x:c>
      <x:c r="C42" s="4" t="s">
        <x:v>16</x:v>
      </x:c>
      <x:c r="D42" s="3" t="str">
        <x:f>IF(A42&lt;=26,"1부","2부")</x:f>
        <x:v>2부</x:v>
      </x:c>
      <x:c r="E42" s="7">
        <x:f>IF(A42&lt;=26,$O$2+(A42-1)*TIME(0,$O$4,0),$O$3+(A42-27)*TIME(0,$O$4,0))</x:f>
        <x:v>0.54583333333333339</x:v>
      </x:c>
      <x:c r="F42" s="3" t="str">
        <x:f>IF('1_참가선수입력'!$E$156&lt;&gt;"",'1_참가선수입력'!$E$156,"")</x:f>
        <x:v/>
      </x:c>
      <x:c r="G42" s="3" t="str">
        <x:f>IF('1_참가선수입력'!$E$157&lt;&gt;"",'1_참가선수입력'!$E$157,"")</x:f>
        <x:v/>
      </x:c>
      <x:c r="H42" s="3" t="str">
        <x:f>IF('1_참가선수입력'!$E$158&lt;&gt;"",'1_참가선수입력'!$E$158,"")</x:f>
        <x:v/>
      </x:c>
      <x:c r="I42" s="3" t="str">
        <x:f>IF('1_참가선수입력'!$E$159&lt;&gt;"",'1_참가선수입력'!$E$159,"")</x:f>
        <x:v/>
      </x:c>
      <x:c r="J42" s="3" t="e">
        <x:f>TEXTJOIN(" / ",TRUE,'1_참가선수입력'!C156:D159)</x:f>
        <x:v>#NAME?</x:v>
      </x:c>
      <x:c r="K42" s="4"/>
      <x:c r="L42" s="4"/>
    </x:row>
    <x:row r="43" spans="1:12">
      <x:c r="A43" s="3">
        <x:v>40</x:v>
      </x:c>
      <x:c r="B43" s="4" t="s">
        <x:v>15</x:v>
      </x:c>
      <x:c r="C43" s="4" t="s">
        <x:v>16</x:v>
      </x:c>
      <x:c r="D43" s="3" t="str">
        <x:f>IF(A43&lt;=26,"1부","2부")</x:f>
        <x:v>2부</x:v>
      </x:c>
      <x:c r="E43" s="7">
        <x:f>IF(A43&lt;=26,$O$2+(A43-1)*TIME(0,$O$4,0),$O$3+(A43-27)*TIME(0,$O$4,0))</x:f>
        <x:v>0.55138888888888893</x:v>
      </x:c>
      <x:c r="F43" s="3" t="str">
        <x:f>IF('1_참가선수입력'!$E$160&lt;&gt;"",'1_참가선수입력'!$E$160,"")</x:f>
        <x:v/>
      </x:c>
      <x:c r="G43" s="3" t="str">
        <x:f>IF('1_참가선수입력'!$E$161&lt;&gt;"",'1_참가선수입력'!$E$161,"")</x:f>
        <x:v/>
      </x:c>
      <x:c r="H43" s="3" t="str">
        <x:f>IF('1_참가선수입력'!$E$162&lt;&gt;"",'1_참가선수입력'!$E$162,"")</x:f>
        <x:v/>
      </x:c>
      <x:c r="I43" s="3" t="str">
        <x:f>IF('1_참가선수입력'!$E$163&lt;&gt;"",'1_참가선수입력'!$E$163,"")</x:f>
        <x:v/>
      </x:c>
      <x:c r="J43" s="3" t="e">
        <x:f>TEXTJOIN(" / ",TRUE,'1_참가선수입력'!C160:D163)</x:f>
        <x:v>#NAME?</x:v>
      </x:c>
      <x:c r="K43" s="4"/>
      <x:c r="L43" s="4"/>
    </x:row>
    <x:row r="44" spans="1:12">
      <x:c r="A44" s="3">
        <x:v>41</x:v>
      </x:c>
      <x:c r="B44" s="4" t="s">
        <x:v>15</x:v>
      </x:c>
      <x:c r="C44" s="4" t="s">
        <x:v>16</x:v>
      </x:c>
      <x:c r="D44" s="3" t="str">
        <x:f>IF(A44&lt;=26,"1부","2부")</x:f>
        <x:v>2부</x:v>
      </x:c>
      <x:c r="E44" s="7">
        <x:f>IF(A44&lt;=26,$O$2+(A44-1)*TIME(0,$O$4,0),$O$3+(A44-27)*TIME(0,$O$4,0))</x:f>
        <x:v>0.55694444444444446</x:v>
      </x:c>
      <x:c r="F44" s="3" t="str">
        <x:f>IF('1_참가선수입력'!$E$164&lt;&gt;"",'1_참가선수입력'!$E$164,"")</x:f>
        <x:v/>
      </x:c>
      <x:c r="G44" s="3" t="str">
        <x:f>IF('1_참가선수입력'!$E$165&lt;&gt;"",'1_참가선수입력'!$E$165,"")</x:f>
        <x:v/>
      </x:c>
      <x:c r="H44" s="3" t="str">
        <x:f>IF('1_참가선수입력'!$E$166&lt;&gt;"",'1_참가선수입력'!$E$166,"")</x:f>
        <x:v/>
      </x:c>
      <x:c r="I44" s="3" t="str">
        <x:f>IF('1_참가선수입력'!$E$167&lt;&gt;"",'1_참가선수입력'!$E$167,"")</x:f>
        <x:v/>
      </x:c>
      <x:c r="J44" s="3" t="e">
        <x:f>TEXTJOIN(" / ",TRUE,'1_참가선수입력'!C164:D167)</x:f>
        <x:v>#NAME?</x:v>
      </x:c>
      <x:c r="K44" s="4"/>
      <x:c r="L44" s="4"/>
    </x:row>
    <x:row r="45" spans="1:12">
      <x:c r="A45" s="3">
        <x:v>42</x:v>
      </x:c>
      <x:c r="B45" s="4" t="s">
        <x:v>15</x:v>
      </x:c>
      <x:c r="C45" s="4" t="s">
        <x:v>16</x:v>
      </x:c>
      <x:c r="D45" s="3" t="str">
        <x:f>IF(A45&lt;=26,"1부","2부")</x:f>
        <x:v>2부</x:v>
      </x:c>
      <x:c r="E45" s="7">
        <x:f>IF(A45&lt;=26,$O$2+(A45-1)*TIME(0,$O$4,0),$O$3+(A45-27)*TIME(0,$O$4,0))</x:f>
        <x:v>0.5625</x:v>
      </x:c>
      <x:c r="F45" s="3" t="str">
        <x:f>IF('1_참가선수입력'!$E$168&lt;&gt;"",'1_참가선수입력'!$E$168,"")</x:f>
        <x:v/>
      </x:c>
      <x:c r="G45" s="3" t="str">
        <x:f>IF('1_참가선수입력'!$E$169&lt;&gt;"",'1_참가선수입력'!$E$169,"")</x:f>
        <x:v/>
      </x:c>
      <x:c r="H45" s="3" t="str">
        <x:f>IF('1_참가선수입력'!$E$170&lt;&gt;"",'1_참가선수입력'!$E$170,"")</x:f>
        <x:v/>
      </x:c>
      <x:c r="I45" s="3" t="str">
        <x:f>IF('1_참가선수입력'!$E$171&lt;&gt;"",'1_참가선수입력'!$E$171,"")</x:f>
        <x:v/>
      </x:c>
      <x:c r="J45" s="3" t="e">
        <x:f>TEXTJOIN(" / ",TRUE,'1_참가선수입력'!C168:D171)</x:f>
        <x:v>#NAME?</x:v>
      </x:c>
      <x:c r="K45" s="4"/>
      <x:c r="L45" s="4"/>
    </x:row>
    <x:row r="46" spans="1:12">
      <x:c r="A46" s="3">
        <x:v>43</x:v>
      </x:c>
      <x:c r="B46" s="4" t="s">
        <x:v>15</x:v>
      </x:c>
      <x:c r="C46" s="4" t="s">
        <x:v>16</x:v>
      </x:c>
      <x:c r="D46" s="3" t="str">
        <x:f>IF(A46&lt;=26,"1부","2부")</x:f>
        <x:v>2부</x:v>
      </x:c>
      <x:c r="E46" s="7">
        <x:f>IF(A46&lt;=26,$O$2+(A46-1)*TIME(0,$O$4,0),$O$3+(A46-27)*TIME(0,$O$4,0))</x:f>
        <x:v>0.56805555555555554</x:v>
      </x:c>
      <x:c r="F46" s="3" t="str">
        <x:f>IF('1_참가선수입력'!$E$172&lt;&gt;"",'1_참가선수입력'!$E$172,"")</x:f>
        <x:v/>
      </x:c>
      <x:c r="G46" s="3" t="str">
        <x:f>IF('1_참가선수입력'!$E$173&lt;&gt;"",'1_참가선수입력'!$E$173,"")</x:f>
        <x:v/>
      </x:c>
      <x:c r="H46" s="3" t="str">
        <x:f>IF('1_참가선수입력'!$E$174&lt;&gt;"",'1_참가선수입력'!$E$174,"")</x:f>
        <x:v/>
      </x:c>
      <x:c r="I46" s="3" t="str">
        <x:f>IF('1_참가선수입력'!$E$175&lt;&gt;"",'1_참가선수입력'!$E$175,"")</x:f>
        <x:v/>
      </x:c>
      <x:c r="J46" s="3" t="e">
        <x:f>TEXTJOIN(" / ",TRUE,'1_참가선수입력'!C172:D175)</x:f>
        <x:v>#NAME?</x:v>
      </x:c>
      <x:c r="K46" s="4"/>
      <x:c r="L46" s="4"/>
    </x:row>
    <x:row r="47" spans="1:12">
      <x:c r="A47" s="3">
        <x:v>44</x:v>
      </x:c>
      <x:c r="B47" s="4" t="s">
        <x:v>15</x:v>
      </x:c>
      <x:c r="C47" s="4" t="s">
        <x:v>16</x:v>
      </x:c>
      <x:c r="D47" s="3" t="str">
        <x:f>IF(A47&lt;=26,"1부","2부")</x:f>
        <x:v>2부</x:v>
      </x:c>
      <x:c r="E47" s="7">
        <x:f>IF(A47&lt;=26,$O$2+(A47-1)*TIME(0,$O$4,0),$O$3+(A47-27)*TIME(0,$O$4,0))</x:f>
        <x:v>0.57361111111111107</x:v>
      </x:c>
      <x:c r="F47" s="3" t="str">
        <x:f>IF('1_참가선수입력'!$E$176&lt;&gt;"",'1_참가선수입력'!$E$176,"")</x:f>
        <x:v/>
      </x:c>
      <x:c r="G47" s="3" t="str">
        <x:f>IF('1_참가선수입력'!$E$177&lt;&gt;"",'1_참가선수입력'!$E$177,"")</x:f>
        <x:v/>
      </x:c>
      <x:c r="H47" s="3" t="str">
        <x:f>IF('1_참가선수입력'!$E$178&lt;&gt;"",'1_참가선수입력'!$E$178,"")</x:f>
        <x:v/>
      </x:c>
      <x:c r="I47" s="3" t="str">
        <x:f>IF('1_참가선수입력'!$E$179&lt;&gt;"",'1_참가선수입력'!$E$179,"")</x:f>
        <x:v/>
      </x:c>
      <x:c r="J47" s="3" t="e">
        <x:f>TEXTJOIN(" / ",TRUE,'1_참가선수입력'!C176:D179)</x:f>
        <x:v>#NAME?</x:v>
      </x:c>
      <x:c r="K47" s="4"/>
      <x:c r="L47" s="4"/>
    </x:row>
    <x:row r="48" spans="1:12">
      <x:c r="A48" s="3">
        <x:v>45</x:v>
      </x:c>
      <x:c r="B48" s="4" t="s">
        <x:v>15</x:v>
      </x:c>
      <x:c r="C48" s="4" t="s">
        <x:v>16</x:v>
      </x:c>
      <x:c r="D48" s="3" t="str">
        <x:f>IF(A48&lt;=26,"1부","2부")</x:f>
        <x:v>2부</x:v>
      </x:c>
      <x:c r="E48" s="7">
        <x:f>IF(A48&lt;=26,$O$2+(A48-1)*TIME(0,$O$4,0),$O$3+(A48-27)*TIME(0,$O$4,0))</x:f>
        <x:v>0.57916666666666672</x:v>
      </x:c>
      <x:c r="F48" s="3" t="str">
        <x:f>IF('1_참가선수입력'!$E$180&lt;&gt;"",'1_참가선수입력'!$E$180,"")</x:f>
        <x:v/>
      </x:c>
      <x:c r="G48" s="3" t="str">
        <x:f>IF('1_참가선수입력'!$E$181&lt;&gt;"",'1_참가선수입력'!$E$181,"")</x:f>
        <x:v/>
      </x:c>
      <x:c r="H48" s="3" t="str">
        <x:f>IF('1_참가선수입력'!$E$182&lt;&gt;"",'1_참가선수입력'!$E$182,"")</x:f>
        <x:v/>
      </x:c>
      <x:c r="I48" s="3" t="str">
        <x:f>IF('1_참가선수입력'!$E$183&lt;&gt;"",'1_참가선수입력'!$E$183,"")</x:f>
        <x:v/>
      </x:c>
      <x:c r="J48" s="3" t="e">
        <x:f>TEXTJOIN(" / ",TRUE,'1_참가선수입력'!C180:D183)</x:f>
        <x:v>#NAME?</x:v>
      </x:c>
      <x:c r="K48" s="4"/>
      <x:c r="L48" s="4"/>
    </x:row>
    <x:row r="49" spans="1:12">
      <x:c r="A49" s="3">
        <x:v>46</x:v>
      </x:c>
      <x:c r="B49" s="4" t="s">
        <x:v>15</x:v>
      </x:c>
      <x:c r="C49" s="4" t="s">
        <x:v>16</x:v>
      </x:c>
      <x:c r="D49" s="3" t="str">
        <x:f>IF(A49&lt;=26,"1부","2부")</x:f>
        <x:v>2부</x:v>
      </x:c>
      <x:c r="E49" s="7">
        <x:f>IF(A49&lt;=26,$O$2+(A49-1)*TIME(0,$O$4,0),$O$3+(A49-27)*TIME(0,$O$4,0))</x:f>
        <x:v>0.58472222222222225</x:v>
      </x:c>
      <x:c r="F49" s="3" t="str">
        <x:f>IF('1_참가선수입력'!$E$184&lt;&gt;"",'1_참가선수입력'!$E$184,"")</x:f>
        <x:v/>
      </x:c>
      <x:c r="G49" s="3" t="str">
        <x:f>IF('1_참가선수입력'!$E$185&lt;&gt;"",'1_참가선수입력'!$E$185,"")</x:f>
        <x:v/>
      </x:c>
      <x:c r="H49" s="3" t="str">
        <x:f>IF('1_참가선수입력'!$E$186&lt;&gt;"",'1_참가선수입력'!$E$186,"")</x:f>
        <x:v/>
      </x:c>
      <x:c r="I49" s="3" t="str">
        <x:f>IF('1_참가선수입력'!$E$187&lt;&gt;"",'1_참가선수입력'!$E$187,"")</x:f>
        <x:v/>
      </x:c>
      <x:c r="J49" s="3" t="e">
        <x:f>TEXTJOIN(" / ",TRUE,'1_참가선수입력'!C184:D187)</x:f>
        <x:v>#NAME?</x:v>
      </x:c>
      <x:c r="K49" s="4"/>
      <x:c r="L49" s="4"/>
    </x:row>
    <x:row r="50" spans="1:12">
      <x:c r="A50" s="3">
        <x:v>47</x:v>
      </x:c>
      <x:c r="B50" s="4" t="s">
        <x:v>15</x:v>
      </x:c>
      <x:c r="C50" s="4" t="s">
        <x:v>16</x:v>
      </x:c>
      <x:c r="D50" s="3" t="str">
        <x:f>IF(A50&lt;=26,"1부","2부")</x:f>
        <x:v>2부</x:v>
      </x:c>
      <x:c r="E50" s="7">
        <x:f>IF(A50&lt;=26,$O$2+(A50-1)*TIME(0,$O$4,0),$O$3+(A50-27)*TIME(0,$O$4,0))</x:f>
        <x:v>0.59027777777777779</x:v>
      </x:c>
      <x:c r="F50" s="3" t="str">
        <x:f>IF('1_참가선수입력'!$E$188&lt;&gt;"",'1_참가선수입력'!$E$188,"")</x:f>
        <x:v/>
      </x:c>
      <x:c r="G50" s="3" t="str">
        <x:f>IF('1_참가선수입력'!$E$189&lt;&gt;"",'1_참가선수입력'!$E$189,"")</x:f>
        <x:v/>
      </x:c>
      <x:c r="H50" s="3" t="str">
        <x:f>IF('1_참가선수입력'!$E$190&lt;&gt;"",'1_참가선수입력'!$E$190,"")</x:f>
        <x:v/>
      </x:c>
      <x:c r="I50" s="3" t="str">
        <x:f>IF('1_참가선수입력'!$E$191&lt;&gt;"",'1_참가선수입력'!$E$191,"")</x:f>
        <x:v/>
      </x:c>
      <x:c r="J50" s="3" t="e">
        <x:f>TEXTJOIN(" / ",TRUE,'1_참가선수입력'!C188:D191)</x:f>
        <x:v>#NAME?</x:v>
      </x:c>
      <x:c r="K50" s="4"/>
      <x:c r="L50" s="4"/>
    </x:row>
    <x:row r="51" spans="1:12">
      <x:c r="A51" s="3">
        <x:v>48</x:v>
      </x:c>
      <x:c r="B51" s="4" t="s">
        <x:v>15</x:v>
      </x:c>
      <x:c r="C51" s="4" t="s">
        <x:v>16</x:v>
      </x:c>
      <x:c r="D51" s="3" t="str">
        <x:f>IF(A51&lt;=26,"1부","2부")</x:f>
        <x:v>2부</x:v>
      </x:c>
      <x:c r="E51" s="7">
        <x:f>IF(A51&lt;=26,$O$2+(A51-1)*TIME(0,$O$4,0),$O$3+(A51-27)*TIME(0,$O$4,0))</x:f>
        <x:v>0.59583333333333333</x:v>
      </x:c>
      <x:c r="F51" s="3" t="str">
        <x:f>IF('1_참가선수입력'!$E$192&lt;&gt;"",'1_참가선수입력'!$E$192,"")</x:f>
        <x:v/>
      </x:c>
      <x:c r="G51" s="3" t="str">
        <x:f>IF('1_참가선수입력'!$E$193&lt;&gt;"",'1_참가선수입력'!$E$193,"")</x:f>
        <x:v/>
      </x:c>
      <x:c r="H51" s="3" t="str">
        <x:f>IF('1_참가선수입력'!$E$194&lt;&gt;"",'1_참가선수입력'!$E$194,"")</x:f>
        <x:v/>
      </x:c>
      <x:c r="I51" s="3" t="str">
        <x:f>IF('1_참가선수입력'!$E$195&lt;&gt;"",'1_참가선수입력'!$E$195,"")</x:f>
        <x:v/>
      </x:c>
      <x:c r="J51" s="3" t="e">
        <x:f>TEXTJOIN(" / ",TRUE,'1_참가선수입력'!C192:D195)</x:f>
        <x:v>#NAME?</x:v>
      </x:c>
      <x:c r="K51" s="4"/>
      <x:c r="L51" s="4"/>
    </x:row>
    <x:row r="52" spans="1:12">
      <x:c r="A52" s="3">
        <x:v>49</x:v>
      </x:c>
      <x:c r="B52" s="4" t="s">
        <x:v>15</x:v>
      </x:c>
      <x:c r="C52" s="4" t="s">
        <x:v>16</x:v>
      </x:c>
      <x:c r="D52" s="3" t="str">
        <x:f>IF(A52&lt;=26,"1부","2부")</x:f>
        <x:v>2부</x:v>
      </x:c>
      <x:c r="E52" s="7">
        <x:f>IF(A52&lt;=26,$O$2+(A52-1)*TIME(0,$O$4,0),$O$3+(A52-27)*TIME(0,$O$4,0))</x:f>
        <x:v>0.60138888888888897</x:v>
      </x:c>
      <x:c r="F52" s="3" t="str">
        <x:f>IF('1_참가선수입력'!$E$196&lt;&gt;"",'1_참가선수입력'!$E$196,"")</x:f>
        <x:v/>
      </x:c>
      <x:c r="G52" s="3" t="str">
        <x:f>IF('1_참가선수입력'!$E$197&lt;&gt;"",'1_참가선수입력'!$E$197,"")</x:f>
        <x:v/>
      </x:c>
      <x:c r="H52" s="3" t="str">
        <x:f>IF('1_참가선수입력'!$E$198&lt;&gt;"",'1_참가선수입력'!$E$198,"")</x:f>
        <x:v/>
      </x:c>
      <x:c r="I52" s="3" t="str">
        <x:f>IF('1_참가선수입력'!$E$199&lt;&gt;"",'1_참가선수입력'!$E$199,"")</x:f>
        <x:v/>
      </x:c>
      <x:c r="J52" s="3" t="e">
        <x:f>TEXTJOIN(" / ",TRUE,'1_참가선수입력'!C196:D199)</x:f>
        <x:v>#NAME?</x:v>
      </x:c>
      <x:c r="K52" s="4"/>
      <x:c r="L52" s="4"/>
    </x:row>
    <x:row r="53" spans="1:12">
      <x:c r="A53" s="3">
        <x:v>50</x:v>
      </x:c>
      <x:c r="B53" s="4" t="s">
        <x:v>15</x:v>
      </x:c>
      <x:c r="C53" s="4" t="s">
        <x:v>16</x:v>
      </x:c>
      <x:c r="D53" s="3" t="str">
        <x:f>IF(A53&lt;=26,"1부","2부")</x:f>
        <x:v>2부</x:v>
      </x:c>
      <x:c r="E53" s="7">
        <x:f>IF(A53&lt;=26,$O$2+(A53-1)*TIME(0,$O$4,0),$O$3+(A53-27)*TIME(0,$O$4,0))</x:f>
        <x:v>0.60694444444444451</x:v>
      </x:c>
      <x:c r="F53" s="3" t="str">
        <x:f>IF('1_참가선수입력'!$E$200&lt;&gt;"",'1_참가선수입력'!$E$200,"")</x:f>
        <x:v/>
      </x:c>
      <x:c r="G53" s="3" t="str">
        <x:f>IF('1_참가선수입력'!$E$201&lt;&gt;"",'1_참가선수입력'!$E$201,"")</x:f>
        <x:v/>
      </x:c>
      <x:c r="H53" s="3" t="str">
        <x:f>IF('1_참가선수입력'!$E$202&lt;&gt;"",'1_참가선수입력'!$E$202,"")</x:f>
        <x:v/>
      </x:c>
      <x:c r="I53" s="3" t="str">
        <x:f>IF('1_참가선수입력'!$E$203&lt;&gt;"",'1_참가선수입력'!$E$203,"")</x:f>
        <x:v/>
      </x:c>
      <x:c r="J53" s="3" t="e">
        <x:f>TEXTJOIN(" / ",TRUE,'1_참가선수입력'!C200:D203)</x:f>
        <x:v>#NAME?</x:v>
      </x:c>
      <x:c r="K53" s="4"/>
      <x:c r="L53" s="4"/>
    </x:row>
    <x:row r="54" spans="1:12">
      <x:c r="A54" s="3">
        <x:v>51</x:v>
      </x:c>
      <x:c r="B54" s="4" t="s">
        <x:v>15</x:v>
      </x:c>
      <x:c r="C54" s="4" t="s">
        <x:v>16</x:v>
      </x:c>
      <x:c r="D54" s="3" t="str">
        <x:f>IF(A54&lt;=26,"1부","2부")</x:f>
        <x:v>2부</x:v>
      </x:c>
      <x:c r="E54" s="7">
        <x:f>IF(A54&lt;=26,$O$2+(A54-1)*TIME(0,$O$4,0),$O$3+(A54-27)*TIME(0,$O$4,0))</x:f>
        <x:v>0.61250000000000004</x:v>
      </x:c>
      <x:c r="F54" s="3" t="str">
        <x:f>IF('1_참가선수입력'!$E$204&lt;&gt;"",'1_참가선수입력'!$E$204,"")</x:f>
        <x:v/>
      </x:c>
      <x:c r="G54" s="3" t="str">
        <x:f>IF('1_참가선수입력'!$E$205&lt;&gt;"",'1_참가선수입력'!$E$205,"")</x:f>
        <x:v/>
      </x:c>
      <x:c r="H54" s="3" t="str">
        <x:f>IF('1_참가선수입력'!$E$206&lt;&gt;"",'1_참가선수입력'!$E$206,"")</x:f>
        <x:v/>
      </x:c>
      <x:c r="I54" s="3" t="str">
        <x:f>IF('1_참가선수입력'!$E$207&lt;&gt;"",'1_참가선수입력'!$E$207,"")</x:f>
        <x:v/>
      </x:c>
      <x:c r="J54" s="3" t="e">
        <x:f>TEXTJOIN(" / ",TRUE,'1_참가선수입력'!C204:D207)</x:f>
        <x:v>#NAME?</x:v>
      </x:c>
      <x:c r="K54" s="4"/>
      <x:c r="L54" s="4"/>
    </x:row>
    <x:row r="55" spans="1:12">
      <x:c r="A55" s="3">
        <x:v>52</x:v>
      </x:c>
      <x:c r="B55" s="4" t="s">
        <x:v>15</x:v>
      </x:c>
      <x:c r="C55" s="4" t="s">
        <x:v>16</x:v>
      </x:c>
      <x:c r="D55" s="3" t="str">
        <x:f>IF(A55&lt;=26,"1부","2부")</x:f>
        <x:v>2부</x:v>
      </x:c>
      <x:c r="E55" s="7">
        <x:f>IF(A55&lt;=26,$O$2+(A55-1)*TIME(0,$O$4,0),$O$3+(A55-27)*TIME(0,$O$4,0))</x:f>
        <x:v>0.61805555555555558</x:v>
      </x:c>
      <x:c r="F55" s="3" t="str">
        <x:f>IF('1_참가선수입력'!$E$208&lt;&gt;"",'1_참가선수입력'!$E$208,"")</x:f>
        <x:v/>
      </x:c>
      <x:c r="G55" s="3" t="str">
        <x:f>IF('1_참가선수입력'!$E$209&lt;&gt;"",'1_참가선수입력'!$E$209,"")</x:f>
        <x:v/>
      </x:c>
      <x:c r="H55" s="3" t="str">
        <x:f>IF('1_참가선수입력'!$E$210&lt;&gt;"",'1_참가선수입력'!$E$210,"")</x:f>
        <x:v/>
      </x:c>
      <x:c r="I55" s="3" t="str">
        <x:f>IF('1_참가선수입력'!$E$211&lt;&gt;"",'1_참가선수입력'!$E$211,"")</x:f>
        <x:v/>
      </x:c>
      <x:c r="J55" s="3" t="e">
        <x:f>TEXTJOIN(" / ",TRUE,'1_참가선수입력'!C208:D211)</x:f>
        <x:v>#NAME?</x:v>
      </x:c>
      <x:c r="K55" s="4"/>
      <x:c r="L55" s="4"/>
    </x:row>
    <x:row r="56" spans="1:12">
      <x:c r="A56" s="3">
        <x:v>53</x:v>
      </x:c>
      <x:c r="B56" s="4" t="s">
        <x:v>15</x:v>
      </x:c>
      <x:c r="C56" s="4" t="s">
        <x:v>16</x:v>
      </x:c>
      <x:c r="D56" s="3" t="str">
        <x:f>IF(A56&lt;=26,"1부","2부")</x:f>
        <x:v>2부</x:v>
      </x:c>
      <x:c r="E56" s="7">
        <x:f>IF(A56&lt;=26,$O$2+(A56-1)*TIME(0,$O$4,0),$O$3+(A56-27)*TIME(0,$O$4,0))</x:f>
        <x:v>0.62361111111111112</x:v>
      </x:c>
      <x:c r="F56" s="3" t="str">
        <x:f>IF('1_참가선수입력'!$E$212&lt;&gt;"",'1_참가선수입력'!$E$212,"")</x:f>
        <x:v/>
      </x:c>
      <x:c r="G56" s="3" t="str">
        <x:f>IF('1_참가선수입력'!$E$213&lt;&gt;"",'1_참가선수입력'!$E$213,"")</x:f>
        <x:v/>
      </x:c>
      <x:c r="H56" s="3" t="str">
        <x:f>IF('1_참가선수입력'!$E$214&lt;&gt;"",'1_참가선수입력'!$E$214,"")</x:f>
        <x:v/>
      </x:c>
      <x:c r="I56" s="3" t="str">
        <x:f>IF('1_참가선수입력'!$E$215&lt;&gt;"",'1_참가선수입력'!$E$215,"")</x:f>
        <x:v/>
      </x:c>
      <x:c r="J56" s="3" t="e">
        <x:f>TEXTJOIN(" / ",TRUE,'1_참가선수입력'!C212:D215)</x:f>
        <x:v>#NAME?</x:v>
      </x:c>
      <x:c r="K56" s="4"/>
      <x:c r="L56" s="4"/>
    </x:row>
  </x:sheetData>
  <x:autoFilter ref="A3:L56"/>
  <x:mergeCells count="1">
    <x:mergeCell ref="A1:L1"/>
  </x:mergeCells>
  <x:pageMargins left="0.30000001192092896" right="0.30000001192092896" top="0.5" bottom="0.5" header="0.5" footer="0.5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 filterMode="1"/>
  <x:dimension ref="A1:N213"/>
  <x:sheetViews>
    <x:sheetView showGridLines="0" topLeftCell="A1" zoomScaleNormal="100" zoomScaleSheetLayoutView="75" workbookViewId="0">
      <x:pane xSplit="0" ySplit="3" topLeftCell="A4" activePane="bottomLeft" state="frozen"/>
      <x:selection pane="bottomLeft" activeCell="A1" activeCellId="0" sqref="A1:A1"/>
    </x:sheetView>
  </x:sheetViews>
  <x:sheetFormatPr defaultColWidth="8.796875" defaultRowHeight="16.399999999999999"/>
  <x:cols>
    <x:col min="1" max="1" width="6" customWidth="1"/>
    <x:col min="2" max="2" width="12" customWidth="1"/>
    <x:col min="3" max="3" width="10" customWidth="1"/>
    <x:col min="4" max="4" width="7" customWidth="1"/>
    <x:col min="5" max="5" width="14" customWidth="1"/>
    <x:col min="6" max="11" width="10" customWidth="1"/>
    <x:col min="12" max="12" width="13" customWidth="1"/>
    <x:col min="13" max="14" width="22" customWidth="1"/>
  </x:cols>
  <x:sheetData>
    <x:row r="1" spans="1:14" ht="28" customHeight="1">
      <x:c r="A1" s="14" t="s">
        <x:v>123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</x:row>
    <x:row r="3" spans="1:14">
      <x:c r="A3" s="2" t="s">
        <x:v>137</x:v>
      </x:c>
      <x:c r="B3" s="2" t="s">
        <x:v>134</x:v>
      </x:c>
      <x:c r="C3" s="2" t="s">
        <x:v>111</x:v>
      </x:c>
      <x:c r="D3" s="2" t="s">
        <x:v>133</x:v>
      </x:c>
      <x:c r="E3" s="2" t="s">
        <x:v>9</x:v>
      </x:c>
      <x:c r="F3" s="2" t="s">
        <x:v>127</x:v>
      </x:c>
      <x:c r="G3" s="2" t="s">
        <x:v>126</x:v>
      </x:c>
      <x:c r="H3" s="2" t="s">
        <x:v>141</x:v>
      </x:c>
      <x:c r="I3" s="2" t="s">
        <x:v>139</x:v>
      </x:c>
      <x:c r="J3" s="2" t="s">
        <x:v>124</x:v>
      </x:c>
      <x:c r="K3" s="2" t="s">
        <x:v>125</x:v>
      </x:c>
      <x:c r="L3" s="2" t="s">
        <x:v>22</x:v>
      </x:c>
      <x:c r="M3" s="2" t="s">
        <x:v>21</x:v>
      </x:c>
      <x:c r="N3" s="2" t="s">
        <x:v>67</x:v>
      </x:c>
    </x:row>
    <x:row r="4" spans="1:14">
      <x:c r="A4" s="3">
        <x:f>'1_참가선수입력'!A4</x:f>
        <x:v>1</x:v>
      </x:c>
      <x:c r="B4" s="3">
        <x:f>'1_참가선수입력'!E4</x:f>
        <x:v>0</x:v>
      </x:c>
      <x:c r="C4" s="3">
        <x:f>'1_참가선수입력'!C4</x:f>
        <x:v>0</x:v>
      </x:c>
      <x:c r="D4" s="3">
        <x:f>'1_참가선수입력'!D4</x:f>
        <x:v>0</x:v>
      </x:c>
      <x:c r="E4" s="4"/>
      <x:c r="F4" s="4"/>
      <x:c r="G4" s="4"/>
      <x:c r="H4" s="4"/>
      <x:c r="I4" s="4"/>
      <x:c r="J4" s="4"/>
      <x:c r="K4" s="4"/>
      <x:c r="L4" s="3" t="str">
        <x:f>IF(AND(E4="완료",F4="완료",G4="완료",H4="완료"),"완료","확인필요")</x:f>
        <x:v>확인필요</x:v>
      </x:c>
      <x:c r="M4" s="4"/>
      <x:c r="N4" s="4"/>
    </x:row>
    <x:row r="5" spans="1:14">
      <x:c r="A5" s="3">
        <x:f>'1_참가선수입력'!A5</x:f>
        <x:v>2</x:v>
      </x:c>
      <x:c r="B5" s="3">
        <x:f>'1_참가선수입력'!E5</x:f>
        <x:v>0</x:v>
      </x:c>
      <x:c r="C5" s="3">
        <x:f>'1_참가선수입력'!C5</x:f>
        <x:v>0</x:v>
      </x:c>
      <x:c r="D5" s="3">
        <x:f>'1_참가선수입력'!D5</x:f>
        <x:v>0</x:v>
      </x:c>
      <x:c r="E5" s="4"/>
      <x:c r="F5" s="4"/>
      <x:c r="G5" s="4"/>
      <x:c r="H5" s="4"/>
      <x:c r="I5" s="4"/>
      <x:c r="J5" s="4"/>
      <x:c r="K5" s="4"/>
      <x:c r="L5" s="3" t="str">
        <x:f>IF(AND(E5="완료",F5="완료",G5="완료",H5="완료"),"완료","확인필요")</x:f>
        <x:v>확인필요</x:v>
      </x:c>
      <x:c r="M5" s="4"/>
      <x:c r="N5" s="4"/>
    </x:row>
    <x:row r="6" spans="1:14">
      <x:c r="A6" s="3">
        <x:f>'1_참가선수입력'!A6</x:f>
        <x:v>3</x:v>
      </x:c>
      <x:c r="B6" s="3">
        <x:f>'1_참가선수입력'!E6</x:f>
        <x:v>0</x:v>
      </x:c>
      <x:c r="C6" s="3">
        <x:f>'1_참가선수입력'!C6</x:f>
        <x:v>0</x:v>
      </x:c>
      <x:c r="D6" s="3">
        <x:f>'1_참가선수입력'!D6</x:f>
        <x:v>0</x:v>
      </x:c>
      <x:c r="E6" s="4"/>
      <x:c r="F6" s="4"/>
      <x:c r="G6" s="4"/>
      <x:c r="H6" s="4"/>
      <x:c r="I6" s="4"/>
      <x:c r="J6" s="4"/>
      <x:c r="K6" s="4"/>
      <x:c r="L6" s="3" t="str">
        <x:f>IF(AND(E6="완료",F6="완료",G6="완료",H6="완료"),"완료","확인필요")</x:f>
        <x:v>확인필요</x:v>
      </x:c>
      <x:c r="M6" s="4"/>
      <x:c r="N6" s="4"/>
    </x:row>
    <x:row r="7" spans="1:14">
      <x:c r="A7" s="3">
        <x:f>'1_참가선수입력'!A7</x:f>
        <x:v>4</x:v>
      </x:c>
      <x:c r="B7" s="3">
        <x:f>'1_참가선수입력'!E7</x:f>
        <x:v>0</x:v>
      </x:c>
      <x:c r="C7" s="3">
        <x:f>'1_참가선수입력'!C7</x:f>
        <x:v>0</x:v>
      </x:c>
      <x:c r="D7" s="3">
        <x:f>'1_참가선수입력'!D7</x:f>
        <x:v>0</x:v>
      </x:c>
      <x:c r="E7" s="4"/>
      <x:c r="F7" s="4"/>
      <x:c r="G7" s="4"/>
      <x:c r="H7" s="4"/>
      <x:c r="I7" s="4"/>
      <x:c r="J7" s="4"/>
      <x:c r="K7" s="4"/>
      <x:c r="L7" s="3" t="str">
        <x:f>IF(AND(E7="완료",F7="완료",G7="완료",H7="완료"),"완료","확인필요")</x:f>
        <x:v>확인필요</x:v>
      </x:c>
      <x:c r="M7" s="4"/>
      <x:c r="N7" s="4"/>
    </x:row>
    <x:row r="8" spans="1:14">
      <x:c r="A8" s="3">
        <x:f>'1_참가선수입력'!A8</x:f>
        <x:v>5</x:v>
      </x:c>
      <x:c r="B8" s="3">
        <x:f>'1_참가선수입력'!E8</x:f>
        <x:v>0</x:v>
      </x:c>
      <x:c r="C8" s="3">
        <x:f>'1_참가선수입력'!C8</x:f>
        <x:v>0</x:v>
      </x:c>
      <x:c r="D8" s="3">
        <x:f>'1_참가선수입력'!D8</x:f>
        <x:v>0</x:v>
      </x:c>
      <x:c r="E8" s="4"/>
      <x:c r="F8" s="4"/>
      <x:c r="G8" s="4"/>
      <x:c r="H8" s="4"/>
      <x:c r="I8" s="4"/>
      <x:c r="J8" s="4"/>
      <x:c r="K8" s="4"/>
      <x:c r="L8" s="3" t="str">
        <x:f>IF(AND(E8="완료",F8="완료",G8="완료",H8="완료"),"완료","확인필요")</x:f>
        <x:v>확인필요</x:v>
      </x:c>
      <x:c r="M8" s="4"/>
      <x:c r="N8" s="4"/>
    </x:row>
    <x:row r="9" spans="1:14">
      <x:c r="A9" s="3">
        <x:f>'1_참가선수입력'!A9</x:f>
        <x:v>6</x:v>
      </x:c>
      <x:c r="B9" s="3">
        <x:f>'1_참가선수입력'!E9</x:f>
        <x:v>0</x:v>
      </x:c>
      <x:c r="C9" s="3">
        <x:f>'1_참가선수입력'!C9</x:f>
        <x:v>0</x:v>
      </x:c>
      <x:c r="D9" s="3">
        <x:f>'1_참가선수입력'!D9</x:f>
        <x:v>0</x:v>
      </x:c>
      <x:c r="E9" s="4"/>
      <x:c r="F9" s="4"/>
      <x:c r="G9" s="4"/>
      <x:c r="H9" s="4"/>
      <x:c r="I9" s="4"/>
      <x:c r="J9" s="4"/>
      <x:c r="K9" s="4"/>
      <x:c r="L9" s="3" t="str">
        <x:f>IF(AND(E9="완료",F9="완료",G9="완료",H9="완료"),"완료","확인필요")</x:f>
        <x:v>확인필요</x:v>
      </x:c>
      <x:c r="M9" s="4"/>
      <x:c r="N9" s="4"/>
    </x:row>
    <x:row r="10" spans="1:14">
      <x:c r="A10" s="3">
        <x:f>'1_참가선수입력'!A10</x:f>
        <x:v>7</x:v>
      </x:c>
      <x:c r="B10" s="3">
        <x:f>'1_참가선수입력'!E10</x:f>
        <x:v>0</x:v>
      </x:c>
      <x:c r="C10" s="3">
        <x:f>'1_참가선수입력'!C10</x:f>
        <x:v>0</x:v>
      </x:c>
      <x:c r="D10" s="3">
        <x:f>'1_참가선수입력'!D10</x:f>
        <x:v>0</x:v>
      </x:c>
      <x:c r="E10" s="4"/>
      <x:c r="F10" s="4"/>
      <x:c r="G10" s="4"/>
      <x:c r="H10" s="4"/>
      <x:c r="I10" s="4"/>
      <x:c r="J10" s="4"/>
      <x:c r="K10" s="4"/>
      <x:c r="L10" s="3" t="str">
        <x:f>IF(AND(E10="완료",F10="완료",G10="완료",H10="완료"),"완료","확인필요")</x:f>
        <x:v>확인필요</x:v>
      </x:c>
      <x:c r="M10" s="4"/>
      <x:c r="N10" s="4"/>
    </x:row>
    <x:row r="11" spans="1:14">
      <x:c r="A11" s="3">
        <x:f>'1_참가선수입력'!A11</x:f>
        <x:v>8</x:v>
      </x:c>
      <x:c r="B11" s="3">
        <x:f>'1_참가선수입력'!E11</x:f>
        <x:v>0</x:v>
      </x:c>
      <x:c r="C11" s="3">
        <x:f>'1_참가선수입력'!C11</x:f>
        <x:v>0</x:v>
      </x:c>
      <x:c r="D11" s="3">
        <x:f>'1_참가선수입력'!D11</x:f>
        <x:v>0</x:v>
      </x:c>
      <x:c r="E11" s="4"/>
      <x:c r="F11" s="4"/>
      <x:c r="G11" s="4"/>
      <x:c r="H11" s="4"/>
      <x:c r="I11" s="4"/>
      <x:c r="J11" s="4"/>
      <x:c r="K11" s="4"/>
      <x:c r="L11" s="3" t="str">
        <x:f>IF(AND(E11="완료",F11="완료",G11="완료",H11="완료"),"완료","확인필요")</x:f>
        <x:v>확인필요</x:v>
      </x:c>
      <x:c r="M11" s="4"/>
      <x:c r="N11" s="4"/>
    </x:row>
    <x:row r="12" spans="1:14">
      <x:c r="A12" s="3">
        <x:f>'1_참가선수입력'!A12</x:f>
        <x:v>9</x:v>
      </x:c>
      <x:c r="B12" s="3">
        <x:f>'1_참가선수입력'!E12</x:f>
        <x:v>0</x:v>
      </x:c>
      <x:c r="C12" s="3">
        <x:f>'1_참가선수입력'!C12</x:f>
        <x:v>0</x:v>
      </x:c>
      <x:c r="D12" s="3">
        <x:f>'1_참가선수입력'!D12</x:f>
        <x:v>0</x:v>
      </x:c>
      <x:c r="E12" s="4"/>
      <x:c r="F12" s="4"/>
      <x:c r="G12" s="4"/>
      <x:c r="H12" s="4"/>
      <x:c r="I12" s="4"/>
      <x:c r="J12" s="4"/>
      <x:c r="K12" s="4"/>
      <x:c r="L12" s="3" t="str">
        <x:f>IF(AND(E12="완료",F12="완료",G12="완료",H12="완료"),"완료","확인필요")</x:f>
        <x:v>확인필요</x:v>
      </x:c>
      <x:c r="M12" s="4"/>
      <x:c r="N12" s="4"/>
    </x:row>
    <x:row r="13" spans="1:14">
      <x:c r="A13" s="3">
        <x:f>'1_참가선수입력'!A13</x:f>
        <x:v>10</x:v>
      </x:c>
      <x:c r="B13" s="3">
        <x:f>'1_참가선수입력'!E13</x:f>
        <x:v>0</x:v>
      </x:c>
      <x:c r="C13" s="3">
        <x:f>'1_참가선수입력'!C13</x:f>
        <x:v>0</x:v>
      </x:c>
      <x:c r="D13" s="3">
        <x:f>'1_참가선수입력'!D13</x:f>
        <x:v>0</x:v>
      </x:c>
      <x:c r="E13" s="4"/>
      <x:c r="F13" s="4"/>
      <x:c r="G13" s="4"/>
      <x:c r="H13" s="4"/>
      <x:c r="I13" s="4"/>
      <x:c r="J13" s="4"/>
      <x:c r="K13" s="4"/>
      <x:c r="L13" s="3" t="str">
        <x:f>IF(AND(E13="완료",F13="완료",G13="완료",H13="완료"),"완료","확인필요")</x:f>
        <x:v>확인필요</x:v>
      </x:c>
      <x:c r="M13" s="4"/>
      <x:c r="N13" s="4"/>
    </x:row>
    <x:row r="14" spans="1:14">
      <x:c r="A14" s="3">
        <x:f>'1_참가선수입력'!A14</x:f>
        <x:v>11</x:v>
      </x:c>
      <x:c r="B14" s="3">
        <x:f>'1_참가선수입력'!E14</x:f>
        <x:v>0</x:v>
      </x:c>
      <x:c r="C14" s="3">
        <x:f>'1_참가선수입력'!C14</x:f>
        <x:v>0</x:v>
      </x:c>
      <x:c r="D14" s="3">
        <x:f>'1_참가선수입력'!D14</x:f>
        <x:v>0</x:v>
      </x:c>
      <x:c r="E14" s="4"/>
      <x:c r="F14" s="4"/>
      <x:c r="G14" s="4"/>
      <x:c r="H14" s="4"/>
      <x:c r="I14" s="4"/>
      <x:c r="J14" s="4"/>
      <x:c r="K14" s="4"/>
      <x:c r="L14" s="3" t="str">
        <x:f>IF(AND(E14="완료",F14="완료",G14="완료",H14="완료"),"완료","확인필요")</x:f>
        <x:v>확인필요</x:v>
      </x:c>
      <x:c r="M14" s="4"/>
      <x:c r="N14" s="4"/>
    </x:row>
    <x:row r="15" spans="1:14">
      <x:c r="A15" s="3">
        <x:f>'1_참가선수입력'!A15</x:f>
        <x:v>12</x:v>
      </x:c>
      <x:c r="B15" s="3">
        <x:f>'1_참가선수입력'!E15</x:f>
        <x:v>0</x:v>
      </x:c>
      <x:c r="C15" s="3">
        <x:f>'1_참가선수입력'!C15</x:f>
        <x:v>0</x:v>
      </x:c>
      <x:c r="D15" s="3">
        <x:f>'1_참가선수입력'!D15</x:f>
        <x:v>0</x:v>
      </x:c>
      <x:c r="E15" s="4"/>
      <x:c r="F15" s="4"/>
      <x:c r="G15" s="4"/>
      <x:c r="H15" s="4"/>
      <x:c r="I15" s="4"/>
      <x:c r="J15" s="4"/>
      <x:c r="K15" s="4"/>
      <x:c r="L15" s="3" t="str">
        <x:f>IF(AND(E15="완료",F15="완료",G15="완료",H15="완료"),"완료","확인필요")</x:f>
        <x:v>확인필요</x:v>
      </x:c>
      <x:c r="M15" s="4"/>
      <x:c r="N15" s="4"/>
    </x:row>
    <x:row r="16" spans="1:14">
      <x:c r="A16" s="3">
        <x:f>'1_참가선수입력'!A16</x:f>
        <x:v>13</x:v>
      </x:c>
      <x:c r="B16" s="3">
        <x:f>'1_참가선수입력'!E16</x:f>
        <x:v>0</x:v>
      </x:c>
      <x:c r="C16" s="3">
        <x:f>'1_참가선수입력'!C16</x:f>
        <x:v>0</x:v>
      </x:c>
      <x:c r="D16" s="3">
        <x:f>'1_참가선수입력'!D16</x:f>
        <x:v>0</x:v>
      </x:c>
      <x:c r="E16" s="4"/>
      <x:c r="F16" s="4"/>
      <x:c r="G16" s="4"/>
      <x:c r="H16" s="4"/>
      <x:c r="I16" s="4"/>
      <x:c r="J16" s="4"/>
      <x:c r="K16" s="4"/>
      <x:c r="L16" s="3" t="str">
        <x:f>IF(AND(E16="완료",F16="완료",G16="완료",H16="완료"),"완료","확인필요")</x:f>
        <x:v>확인필요</x:v>
      </x:c>
      <x:c r="M16" s="4"/>
      <x:c r="N16" s="4"/>
    </x:row>
    <x:row r="17" spans="1:14">
      <x:c r="A17" s="3">
        <x:f>'1_참가선수입력'!A17</x:f>
        <x:v>14</x:v>
      </x:c>
      <x:c r="B17" s="3">
        <x:f>'1_참가선수입력'!E17</x:f>
        <x:v>0</x:v>
      </x:c>
      <x:c r="C17" s="3">
        <x:f>'1_참가선수입력'!C17</x:f>
        <x:v>0</x:v>
      </x:c>
      <x:c r="D17" s="3">
        <x:f>'1_참가선수입력'!D17</x:f>
        <x:v>0</x:v>
      </x:c>
      <x:c r="E17" s="4"/>
      <x:c r="F17" s="4"/>
      <x:c r="G17" s="4"/>
      <x:c r="H17" s="4"/>
      <x:c r="I17" s="4"/>
      <x:c r="J17" s="4"/>
      <x:c r="K17" s="4"/>
      <x:c r="L17" s="3" t="str">
        <x:f>IF(AND(E17="완료",F17="완료",G17="완료",H17="완료"),"완료","확인필요")</x:f>
        <x:v>확인필요</x:v>
      </x:c>
      <x:c r="M17" s="4"/>
      <x:c r="N17" s="4"/>
    </x:row>
    <x:row r="18" spans="1:14">
      <x:c r="A18" s="3">
        <x:f>'1_참가선수입력'!A18</x:f>
        <x:v>15</x:v>
      </x:c>
      <x:c r="B18" s="3">
        <x:f>'1_참가선수입력'!E18</x:f>
        <x:v>0</x:v>
      </x:c>
      <x:c r="C18" s="3">
        <x:f>'1_참가선수입력'!C18</x:f>
        <x:v>0</x:v>
      </x:c>
      <x:c r="D18" s="3">
        <x:f>'1_참가선수입력'!D18</x:f>
        <x:v>0</x:v>
      </x:c>
      <x:c r="E18" s="4"/>
      <x:c r="F18" s="4"/>
      <x:c r="G18" s="4"/>
      <x:c r="H18" s="4"/>
      <x:c r="I18" s="4"/>
      <x:c r="J18" s="4"/>
      <x:c r="K18" s="4"/>
      <x:c r="L18" s="3" t="str">
        <x:f>IF(AND(E18="완료",F18="완료",G18="완료",H18="완료"),"완료","확인필요")</x:f>
        <x:v>확인필요</x:v>
      </x:c>
      <x:c r="M18" s="4"/>
      <x:c r="N18" s="4"/>
    </x:row>
    <x:row r="19" spans="1:14">
      <x:c r="A19" s="3">
        <x:f>'1_참가선수입력'!A19</x:f>
        <x:v>16</x:v>
      </x:c>
      <x:c r="B19" s="3">
        <x:f>'1_참가선수입력'!E19</x:f>
        <x:v>0</x:v>
      </x:c>
      <x:c r="C19" s="3">
        <x:f>'1_참가선수입력'!C19</x:f>
        <x:v>0</x:v>
      </x:c>
      <x:c r="D19" s="3">
        <x:f>'1_참가선수입력'!D19</x:f>
        <x:v>0</x:v>
      </x:c>
      <x:c r="E19" s="4"/>
      <x:c r="F19" s="4"/>
      <x:c r="G19" s="4"/>
      <x:c r="H19" s="4"/>
      <x:c r="I19" s="4"/>
      <x:c r="J19" s="4"/>
      <x:c r="K19" s="4"/>
      <x:c r="L19" s="3" t="str">
        <x:f>IF(AND(E19="완료",F19="완료",G19="완료",H19="완료"),"완료","확인필요")</x:f>
        <x:v>확인필요</x:v>
      </x:c>
      <x:c r="M19" s="4"/>
      <x:c r="N19" s="4"/>
    </x:row>
    <x:row r="20" spans="1:14">
      <x:c r="A20" s="3">
        <x:f>'1_참가선수입력'!A20</x:f>
        <x:v>17</x:v>
      </x:c>
      <x:c r="B20" s="3">
        <x:f>'1_참가선수입력'!E20</x:f>
        <x:v>0</x:v>
      </x:c>
      <x:c r="C20" s="3">
        <x:f>'1_참가선수입력'!C20</x:f>
        <x:v>0</x:v>
      </x:c>
      <x:c r="D20" s="3">
        <x:f>'1_참가선수입력'!D20</x:f>
        <x:v>0</x:v>
      </x:c>
      <x:c r="E20" s="4"/>
      <x:c r="F20" s="4"/>
      <x:c r="G20" s="4"/>
      <x:c r="H20" s="4"/>
      <x:c r="I20" s="4"/>
      <x:c r="J20" s="4"/>
      <x:c r="K20" s="4"/>
      <x:c r="L20" s="3" t="str">
        <x:f>IF(AND(E20="완료",F20="완료",G20="완료",H20="완료"),"완료","확인필요")</x:f>
        <x:v>확인필요</x:v>
      </x:c>
      <x:c r="M20" s="4"/>
      <x:c r="N20" s="4"/>
    </x:row>
    <x:row r="21" spans="1:14">
      <x:c r="A21" s="3">
        <x:f>'1_참가선수입력'!A21</x:f>
        <x:v>18</x:v>
      </x:c>
      <x:c r="B21" s="3">
        <x:f>'1_참가선수입력'!E21</x:f>
        <x:v>0</x:v>
      </x:c>
      <x:c r="C21" s="3">
        <x:f>'1_참가선수입력'!C21</x:f>
        <x:v>0</x:v>
      </x:c>
      <x:c r="D21" s="3">
        <x:f>'1_참가선수입력'!D21</x:f>
        <x:v>0</x:v>
      </x:c>
      <x:c r="E21" s="4"/>
      <x:c r="F21" s="4"/>
      <x:c r="G21" s="4"/>
      <x:c r="H21" s="4"/>
      <x:c r="I21" s="4"/>
      <x:c r="J21" s="4"/>
      <x:c r="K21" s="4"/>
      <x:c r="L21" s="3" t="str">
        <x:f>IF(AND(E21="완료",F21="완료",G21="완료",H21="완료"),"완료","확인필요")</x:f>
        <x:v>확인필요</x:v>
      </x:c>
      <x:c r="M21" s="4"/>
      <x:c r="N21" s="4"/>
    </x:row>
    <x:row r="22" spans="1:14">
      <x:c r="A22" s="3">
        <x:f>'1_참가선수입력'!A22</x:f>
        <x:v>19</x:v>
      </x:c>
      <x:c r="B22" s="3">
        <x:f>'1_참가선수입력'!E22</x:f>
        <x:v>0</x:v>
      </x:c>
      <x:c r="C22" s="3">
        <x:f>'1_참가선수입력'!C22</x:f>
        <x:v>0</x:v>
      </x:c>
      <x:c r="D22" s="3">
        <x:f>'1_참가선수입력'!D22</x:f>
        <x:v>0</x:v>
      </x:c>
      <x:c r="E22" s="4"/>
      <x:c r="F22" s="4"/>
      <x:c r="G22" s="4"/>
      <x:c r="H22" s="4"/>
      <x:c r="I22" s="4"/>
      <x:c r="J22" s="4"/>
      <x:c r="K22" s="4"/>
      <x:c r="L22" s="3" t="str">
        <x:f>IF(AND(E22="완료",F22="완료",G22="완료",H22="완료"),"완료","확인필요")</x:f>
        <x:v>확인필요</x:v>
      </x:c>
      <x:c r="M22" s="4"/>
      <x:c r="N22" s="4"/>
    </x:row>
    <x:row r="23" spans="1:14">
      <x:c r="A23" s="3">
        <x:f>'1_참가선수입력'!A23</x:f>
        <x:v>20</x:v>
      </x:c>
      <x:c r="B23" s="3">
        <x:f>'1_참가선수입력'!E23</x:f>
        <x:v>0</x:v>
      </x:c>
      <x:c r="C23" s="3">
        <x:f>'1_참가선수입력'!C23</x:f>
        <x:v>0</x:v>
      </x:c>
      <x:c r="D23" s="3">
        <x:f>'1_참가선수입력'!D23</x:f>
        <x:v>0</x:v>
      </x:c>
      <x:c r="E23" s="4"/>
      <x:c r="F23" s="4"/>
      <x:c r="G23" s="4"/>
      <x:c r="H23" s="4"/>
      <x:c r="I23" s="4"/>
      <x:c r="J23" s="4"/>
      <x:c r="K23" s="4"/>
      <x:c r="L23" s="3" t="str">
        <x:f>IF(AND(E23="완료",F23="완료",G23="완료",H23="완료"),"완료","확인필요")</x:f>
        <x:v>확인필요</x:v>
      </x:c>
      <x:c r="M23" s="4"/>
      <x:c r="N23" s="4"/>
    </x:row>
    <x:row r="24" spans="1:14">
      <x:c r="A24" s="3">
        <x:f>'1_참가선수입력'!A24</x:f>
        <x:v>21</x:v>
      </x:c>
      <x:c r="B24" s="3">
        <x:f>'1_참가선수입력'!E24</x:f>
        <x:v>0</x:v>
      </x:c>
      <x:c r="C24" s="3">
        <x:f>'1_참가선수입력'!C24</x:f>
        <x:v>0</x:v>
      </x:c>
      <x:c r="D24" s="3">
        <x:f>'1_참가선수입력'!D24</x:f>
        <x:v>0</x:v>
      </x:c>
      <x:c r="E24" s="4"/>
      <x:c r="F24" s="4"/>
      <x:c r="G24" s="4"/>
      <x:c r="H24" s="4"/>
      <x:c r="I24" s="4"/>
      <x:c r="J24" s="4"/>
      <x:c r="K24" s="4"/>
      <x:c r="L24" s="3" t="str">
        <x:f>IF(AND(E24="완료",F24="완료",G24="완료",H24="완료"),"완료","확인필요")</x:f>
        <x:v>확인필요</x:v>
      </x:c>
      <x:c r="M24" s="4"/>
      <x:c r="N24" s="4"/>
    </x:row>
    <x:row r="25" spans="1:14">
      <x:c r="A25" s="3">
        <x:f>'1_참가선수입력'!A25</x:f>
        <x:v>22</x:v>
      </x:c>
      <x:c r="B25" s="3">
        <x:f>'1_참가선수입력'!E25</x:f>
        <x:v>0</x:v>
      </x:c>
      <x:c r="C25" s="3">
        <x:f>'1_참가선수입력'!C25</x:f>
        <x:v>0</x:v>
      </x:c>
      <x:c r="D25" s="3">
        <x:f>'1_참가선수입력'!D25</x:f>
        <x:v>0</x:v>
      </x:c>
      <x:c r="E25" s="4"/>
      <x:c r="F25" s="4"/>
      <x:c r="G25" s="4"/>
      <x:c r="H25" s="4"/>
      <x:c r="I25" s="4"/>
      <x:c r="J25" s="4"/>
      <x:c r="K25" s="4"/>
      <x:c r="L25" s="3" t="str">
        <x:f>IF(AND(E25="완료",F25="완료",G25="완료",H25="완료"),"완료","확인필요")</x:f>
        <x:v>확인필요</x:v>
      </x:c>
      <x:c r="M25" s="4"/>
      <x:c r="N25" s="4"/>
    </x:row>
    <x:row r="26" spans="1:14">
      <x:c r="A26" s="3">
        <x:f>'1_참가선수입력'!A26</x:f>
        <x:v>23</x:v>
      </x:c>
      <x:c r="B26" s="3">
        <x:f>'1_참가선수입력'!E26</x:f>
        <x:v>0</x:v>
      </x:c>
      <x:c r="C26" s="3">
        <x:f>'1_참가선수입력'!C26</x:f>
        <x:v>0</x:v>
      </x:c>
      <x:c r="D26" s="3">
        <x:f>'1_참가선수입력'!D26</x:f>
        <x:v>0</x:v>
      </x:c>
      <x:c r="E26" s="4"/>
      <x:c r="F26" s="4"/>
      <x:c r="G26" s="4"/>
      <x:c r="H26" s="4"/>
      <x:c r="I26" s="4"/>
      <x:c r="J26" s="4"/>
      <x:c r="K26" s="4"/>
      <x:c r="L26" s="3" t="str">
        <x:f>IF(AND(E26="완료",F26="완료",G26="완료",H26="완료"),"완료","확인필요")</x:f>
        <x:v>확인필요</x:v>
      </x:c>
      <x:c r="M26" s="4"/>
      <x:c r="N26" s="4"/>
    </x:row>
    <x:row r="27" spans="1:14">
      <x:c r="A27" s="3">
        <x:f>'1_참가선수입력'!A27</x:f>
        <x:v>24</x:v>
      </x:c>
      <x:c r="B27" s="3">
        <x:f>'1_참가선수입력'!E27</x:f>
        <x:v>0</x:v>
      </x:c>
      <x:c r="C27" s="3">
        <x:f>'1_참가선수입력'!C27</x:f>
        <x:v>0</x:v>
      </x:c>
      <x:c r="D27" s="3">
        <x:f>'1_참가선수입력'!D27</x:f>
        <x:v>0</x:v>
      </x:c>
      <x:c r="E27" s="4"/>
      <x:c r="F27" s="4"/>
      <x:c r="G27" s="4"/>
      <x:c r="H27" s="4"/>
      <x:c r="I27" s="4"/>
      <x:c r="J27" s="4"/>
      <x:c r="K27" s="4"/>
      <x:c r="L27" s="3" t="str">
        <x:f>IF(AND(E27="완료",F27="완료",G27="완료",H27="완료"),"완료","확인필요")</x:f>
        <x:v>확인필요</x:v>
      </x:c>
      <x:c r="M27" s="4"/>
      <x:c r="N27" s="4"/>
    </x:row>
    <x:row r="28" spans="1:14">
      <x:c r="A28" s="3">
        <x:f>'1_참가선수입력'!A28</x:f>
        <x:v>25</x:v>
      </x:c>
      <x:c r="B28" s="3">
        <x:f>'1_참가선수입력'!E28</x:f>
        <x:v>0</x:v>
      </x:c>
      <x:c r="C28" s="3">
        <x:f>'1_참가선수입력'!C28</x:f>
        <x:v>0</x:v>
      </x:c>
      <x:c r="D28" s="3">
        <x:f>'1_참가선수입력'!D28</x:f>
        <x:v>0</x:v>
      </x:c>
      <x:c r="E28" s="4"/>
      <x:c r="F28" s="4"/>
      <x:c r="G28" s="4"/>
      <x:c r="H28" s="4"/>
      <x:c r="I28" s="4"/>
      <x:c r="J28" s="4"/>
      <x:c r="K28" s="4"/>
      <x:c r="L28" s="3" t="str">
        <x:f>IF(AND(E28="완료",F28="완료",G28="완료",H28="완료"),"완료","확인필요")</x:f>
        <x:v>확인필요</x:v>
      </x:c>
      <x:c r="M28" s="4"/>
      <x:c r="N28" s="4"/>
    </x:row>
    <x:row r="29" spans="1:14">
      <x:c r="A29" s="3">
        <x:f>'1_참가선수입력'!A29</x:f>
        <x:v>26</x:v>
      </x:c>
      <x:c r="B29" s="3">
        <x:f>'1_참가선수입력'!E29</x:f>
        <x:v>0</x:v>
      </x:c>
      <x:c r="C29" s="3">
        <x:f>'1_참가선수입력'!C29</x:f>
        <x:v>0</x:v>
      </x:c>
      <x:c r="D29" s="3">
        <x:f>'1_참가선수입력'!D29</x:f>
        <x:v>0</x:v>
      </x:c>
      <x:c r="E29" s="4"/>
      <x:c r="F29" s="4"/>
      <x:c r="G29" s="4"/>
      <x:c r="H29" s="4"/>
      <x:c r="I29" s="4"/>
      <x:c r="J29" s="4"/>
      <x:c r="K29" s="4"/>
      <x:c r="L29" s="3" t="str">
        <x:f>IF(AND(E29="완료",F29="완료",G29="완료",H29="완료"),"완료","확인필요")</x:f>
        <x:v>확인필요</x:v>
      </x:c>
      <x:c r="M29" s="4"/>
      <x:c r="N29" s="4"/>
    </x:row>
    <x:row r="30" spans="1:14">
      <x:c r="A30" s="3">
        <x:f>'1_참가선수입력'!A30</x:f>
        <x:v>27</x:v>
      </x:c>
      <x:c r="B30" s="3">
        <x:f>'1_참가선수입력'!E30</x:f>
        <x:v>0</x:v>
      </x:c>
      <x:c r="C30" s="3">
        <x:f>'1_참가선수입력'!C30</x:f>
        <x:v>0</x:v>
      </x:c>
      <x:c r="D30" s="3">
        <x:f>'1_참가선수입력'!D30</x:f>
        <x:v>0</x:v>
      </x:c>
      <x:c r="E30" s="4"/>
      <x:c r="F30" s="4"/>
      <x:c r="G30" s="4"/>
      <x:c r="H30" s="4"/>
      <x:c r="I30" s="4"/>
      <x:c r="J30" s="4"/>
      <x:c r="K30" s="4"/>
      <x:c r="L30" s="3" t="str">
        <x:f>IF(AND(E30="완료",F30="완료",G30="완료",H30="완료"),"완료","확인필요")</x:f>
        <x:v>확인필요</x:v>
      </x:c>
      <x:c r="M30" s="4"/>
      <x:c r="N30" s="4"/>
    </x:row>
    <x:row r="31" spans="1:14">
      <x:c r="A31" s="3">
        <x:f>'1_참가선수입력'!A31</x:f>
        <x:v>28</x:v>
      </x:c>
      <x:c r="B31" s="3">
        <x:f>'1_참가선수입력'!E31</x:f>
        <x:v>0</x:v>
      </x:c>
      <x:c r="C31" s="3">
        <x:f>'1_참가선수입력'!C31</x:f>
        <x:v>0</x:v>
      </x:c>
      <x:c r="D31" s="3">
        <x:f>'1_참가선수입력'!D31</x:f>
        <x:v>0</x:v>
      </x:c>
      <x:c r="E31" s="4"/>
      <x:c r="F31" s="4"/>
      <x:c r="G31" s="4"/>
      <x:c r="H31" s="4"/>
      <x:c r="I31" s="4"/>
      <x:c r="J31" s="4"/>
      <x:c r="K31" s="4"/>
      <x:c r="L31" s="3" t="str">
        <x:f>IF(AND(E31="완료",F31="완료",G31="완료",H31="완료"),"완료","확인필요")</x:f>
        <x:v>확인필요</x:v>
      </x:c>
      <x:c r="M31" s="4"/>
      <x:c r="N31" s="4"/>
    </x:row>
    <x:row r="32" spans="1:14">
      <x:c r="A32" s="3">
        <x:f>'1_참가선수입력'!A32</x:f>
        <x:v>29</x:v>
      </x:c>
      <x:c r="B32" s="3">
        <x:f>'1_참가선수입력'!E32</x:f>
        <x:v>0</x:v>
      </x:c>
      <x:c r="C32" s="3">
        <x:f>'1_참가선수입력'!C32</x:f>
        <x:v>0</x:v>
      </x:c>
      <x:c r="D32" s="3">
        <x:f>'1_참가선수입력'!D32</x:f>
        <x:v>0</x:v>
      </x:c>
      <x:c r="E32" s="4"/>
      <x:c r="F32" s="4"/>
      <x:c r="G32" s="4"/>
      <x:c r="H32" s="4"/>
      <x:c r="I32" s="4"/>
      <x:c r="J32" s="4"/>
      <x:c r="K32" s="4"/>
      <x:c r="L32" s="3" t="str">
        <x:f>IF(AND(E32="완료",F32="완료",G32="완료",H32="완료"),"완료","확인필요")</x:f>
        <x:v>확인필요</x:v>
      </x:c>
      <x:c r="M32" s="4"/>
      <x:c r="N32" s="4"/>
    </x:row>
    <x:row r="33" spans="1:14">
      <x:c r="A33" s="3">
        <x:f>'1_참가선수입력'!A33</x:f>
        <x:v>30</x:v>
      </x:c>
      <x:c r="B33" s="3">
        <x:f>'1_참가선수입력'!E33</x:f>
        <x:v>0</x:v>
      </x:c>
      <x:c r="C33" s="3">
        <x:f>'1_참가선수입력'!C33</x:f>
        <x:v>0</x:v>
      </x:c>
      <x:c r="D33" s="3">
        <x:f>'1_참가선수입력'!D33</x:f>
        <x:v>0</x:v>
      </x:c>
      <x:c r="E33" s="4"/>
      <x:c r="F33" s="4"/>
      <x:c r="G33" s="4"/>
      <x:c r="H33" s="4"/>
      <x:c r="I33" s="4"/>
      <x:c r="J33" s="4"/>
      <x:c r="K33" s="4"/>
      <x:c r="L33" s="3" t="str">
        <x:f>IF(AND(E33="완료",F33="완료",G33="완료",H33="완료"),"완료","확인필요")</x:f>
        <x:v>확인필요</x:v>
      </x:c>
      <x:c r="M33" s="4"/>
      <x:c r="N33" s="4"/>
    </x:row>
    <x:row r="34" spans="1:14">
      <x:c r="A34" s="3">
        <x:f>'1_참가선수입력'!A34</x:f>
        <x:v>31</x:v>
      </x:c>
      <x:c r="B34" s="3">
        <x:f>'1_참가선수입력'!E34</x:f>
        <x:v>0</x:v>
      </x:c>
      <x:c r="C34" s="3">
        <x:f>'1_참가선수입력'!C34</x:f>
        <x:v>0</x:v>
      </x:c>
      <x:c r="D34" s="3">
        <x:f>'1_참가선수입력'!D34</x:f>
        <x:v>0</x:v>
      </x:c>
      <x:c r="E34" s="4"/>
      <x:c r="F34" s="4"/>
      <x:c r="G34" s="4"/>
      <x:c r="H34" s="4"/>
      <x:c r="I34" s="4"/>
      <x:c r="J34" s="4"/>
      <x:c r="K34" s="4"/>
      <x:c r="L34" s="3" t="str">
        <x:f>IF(AND(E34="완료",F34="완료",G34="완료",H34="완료"),"완료","확인필요")</x:f>
        <x:v>확인필요</x:v>
      </x:c>
      <x:c r="M34" s="4"/>
      <x:c r="N34" s="4"/>
    </x:row>
    <x:row r="35" spans="1:14">
      <x:c r="A35" s="3">
        <x:f>'1_참가선수입력'!A35</x:f>
        <x:v>32</x:v>
      </x:c>
      <x:c r="B35" s="3">
        <x:f>'1_참가선수입력'!E35</x:f>
        <x:v>0</x:v>
      </x:c>
      <x:c r="C35" s="3">
        <x:f>'1_참가선수입력'!C35</x:f>
        <x:v>0</x:v>
      </x:c>
      <x:c r="D35" s="3">
        <x:f>'1_참가선수입력'!D35</x:f>
        <x:v>0</x:v>
      </x:c>
      <x:c r="E35" s="4"/>
      <x:c r="F35" s="4"/>
      <x:c r="G35" s="4"/>
      <x:c r="H35" s="4"/>
      <x:c r="I35" s="4"/>
      <x:c r="J35" s="4"/>
      <x:c r="K35" s="4"/>
      <x:c r="L35" s="3" t="str">
        <x:f>IF(AND(E35="완료",F35="완료",G35="완료",H35="완료"),"완료","확인필요")</x:f>
        <x:v>확인필요</x:v>
      </x:c>
      <x:c r="M35" s="4"/>
      <x:c r="N35" s="4"/>
    </x:row>
    <x:row r="36" spans="1:14">
      <x:c r="A36" s="3">
        <x:f>'1_참가선수입력'!A36</x:f>
        <x:v>33</x:v>
      </x:c>
      <x:c r="B36" s="3">
        <x:f>'1_참가선수입력'!E36</x:f>
        <x:v>0</x:v>
      </x:c>
      <x:c r="C36" s="3">
        <x:f>'1_참가선수입력'!C36</x:f>
        <x:v>0</x:v>
      </x:c>
      <x:c r="D36" s="3">
        <x:f>'1_참가선수입력'!D36</x:f>
        <x:v>0</x:v>
      </x:c>
      <x:c r="E36" s="4"/>
      <x:c r="F36" s="4"/>
      <x:c r="G36" s="4"/>
      <x:c r="H36" s="4"/>
      <x:c r="I36" s="4"/>
      <x:c r="J36" s="4"/>
      <x:c r="K36" s="4"/>
      <x:c r="L36" s="3" t="str">
        <x:f>IF(AND(E36="완료",F36="완료",G36="완료",H36="완료"),"완료","확인필요")</x:f>
        <x:v>확인필요</x:v>
      </x:c>
      <x:c r="M36" s="4"/>
      <x:c r="N36" s="4"/>
    </x:row>
    <x:row r="37" spans="1:14">
      <x:c r="A37" s="3">
        <x:f>'1_참가선수입력'!A37</x:f>
        <x:v>34</x:v>
      </x:c>
      <x:c r="B37" s="3">
        <x:f>'1_참가선수입력'!E37</x:f>
        <x:v>0</x:v>
      </x:c>
      <x:c r="C37" s="3">
        <x:f>'1_참가선수입력'!C37</x:f>
        <x:v>0</x:v>
      </x:c>
      <x:c r="D37" s="3">
        <x:f>'1_참가선수입력'!D37</x:f>
        <x:v>0</x:v>
      </x:c>
      <x:c r="E37" s="4"/>
      <x:c r="F37" s="4"/>
      <x:c r="G37" s="4"/>
      <x:c r="H37" s="4"/>
      <x:c r="I37" s="4"/>
      <x:c r="J37" s="4"/>
      <x:c r="K37" s="4"/>
      <x:c r="L37" s="3" t="str">
        <x:f>IF(AND(E37="완료",F37="완료",G37="완료",H37="완료"),"완료","확인필요")</x:f>
        <x:v>확인필요</x:v>
      </x:c>
      <x:c r="M37" s="4"/>
      <x:c r="N37" s="4"/>
    </x:row>
    <x:row r="38" spans="1:14">
      <x:c r="A38" s="3">
        <x:f>'1_참가선수입력'!A38</x:f>
        <x:v>35</x:v>
      </x:c>
      <x:c r="B38" s="3">
        <x:f>'1_참가선수입력'!E38</x:f>
        <x:v>0</x:v>
      </x:c>
      <x:c r="C38" s="3">
        <x:f>'1_참가선수입력'!C38</x:f>
        <x:v>0</x:v>
      </x:c>
      <x:c r="D38" s="3">
        <x:f>'1_참가선수입력'!D38</x:f>
        <x:v>0</x:v>
      </x:c>
      <x:c r="E38" s="4"/>
      <x:c r="F38" s="4"/>
      <x:c r="G38" s="4"/>
      <x:c r="H38" s="4"/>
      <x:c r="I38" s="4"/>
      <x:c r="J38" s="4"/>
      <x:c r="K38" s="4"/>
      <x:c r="L38" s="3" t="str">
        <x:f>IF(AND(E38="완료",F38="완료",G38="완료",H38="완료"),"완료","확인필요")</x:f>
        <x:v>확인필요</x:v>
      </x:c>
      <x:c r="M38" s="4"/>
      <x:c r="N38" s="4"/>
    </x:row>
    <x:row r="39" spans="1:14">
      <x:c r="A39" s="3">
        <x:f>'1_참가선수입력'!A39</x:f>
        <x:v>36</x:v>
      </x:c>
      <x:c r="B39" s="3">
        <x:f>'1_참가선수입력'!E39</x:f>
        <x:v>0</x:v>
      </x:c>
      <x:c r="C39" s="3">
        <x:f>'1_참가선수입력'!C39</x:f>
        <x:v>0</x:v>
      </x:c>
      <x:c r="D39" s="3">
        <x:f>'1_참가선수입력'!D39</x:f>
        <x:v>0</x:v>
      </x:c>
      <x:c r="E39" s="4"/>
      <x:c r="F39" s="4"/>
      <x:c r="G39" s="4"/>
      <x:c r="H39" s="4"/>
      <x:c r="I39" s="4"/>
      <x:c r="J39" s="4"/>
      <x:c r="K39" s="4"/>
      <x:c r="L39" s="3" t="str">
        <x:f>IF(AND(E39="완료",F39="완료",G39="완료",H39="완료"),"완료","확인필요")</x:f>
        <x:v>확인필요</x:v>
      </x:c>
      <x:c r="M39" s="4"/>
      <x:c r="N39" s="4"/>
    </x:row>
    <x:row r="40" spans="1:14">
      <x:c r="A40" s="3">
        <x:f>'1_참가선수입력'!A40</x:f>
        <x:v>37</x:v>
      </x:c>
      <x:c r="B40" s="3">
        <x:f>'1_참가선수입력'!E40</x:f>
        <x:v>0</x:v>
      </x:c>
      <x:c r="C40" s="3">
        <x:f>'1_참가선수입력'!C40</x:f>
        <x:v>0</x:v>
      </x:c>
      <x:c r="D40" s="3">
        <x:f>'1_참가선수입력'!D40</x:f>
        <x:v>0</x:v>
      </x:c>
      <x:c r="E40" s="4"/>
      <x:c r="F40" s="4"/>
      <x:c r="G40" s="4"/>
      <x:c r="H40" s="4"/>
      <x:c r="I40" s="4"/>
      <x:c r="J40" s="4"/>
      <x:c r="K40" s="4"/>
      <x:c r="L40" s="3" t="str">
        <x:f>IF(AND(E40="완료",F40="완료",G40="완료",H40="완료"),"완료","확인필요")</x:f>
        <x:v>확인필요</x:v>
      </x:c>
      <x:c r="M40" s="4"/>
      <x:c r="N40" s="4"/>
    </x:row>
    <x:row r="41" spans="1:14">
      <x:c r="A41" s="3">
        <x:f>'1_참가선수입력'!A41</x:f>
        <x:v>38</x:v>
      </x:c>
      <x:c r="B41" s="3">
        <x:f>'1_참가선수입력'!E41</x:f>
        <x:v>0</x:v>
      </x:c>
      <x:c r="C41" s="3">
        <x:f>'1_참가선수입력'!C41</x:f>
        <x:v>0</x:v>
      </x:c>
      <x:c r="D41" s="3">
        <x:f>'1_참가선수입력'!D41</x:f>
        <x:v>0</x:v>
      </x:c>
      <x:c r="E41" s="4"/>
      <x:c r="F41" s="4"/>
      <x:c r="G41" s="4"/>
      <x:c r="H41" s="4"/>
      <x:c r="I41" s="4"/>
      <x:c r="J41" s="4"/>
      <x:c r="K41" s="4"/>
      <x:c r="L41" s="3" t="str">
        <x:f>IF(AND(E41="완료",F41="완료",G41="완료",H41="완료"),"완료","확인필요")</x:f>
        <x:v>확인필요</x:v>
      </x:c>
      <x:c r="M41" s="4"/>
      <x:c r="N41" s="4"/>
    </x:row>
    <x:row r="42" spans="1:14">
      <x:c r="A42" s="3">
        <x:f>'1_참가선수입력'!A42</x:f>
        <x:v>39</x:v>
      </x:c>
      <x:c r="B42" s="3">
        <x:f>'1_참가선수입력'!E42</x:f>
        <x:v>0</x:v>
      </x:c>
      <x:c r="C42" s="3">
        <x:f>'1_참가선수입력'!C42</x:f>
        <x:v>0</x:v>
      </x:c>
      <x:c r="D42" s="3">
        <x:f>'1_참가선수입력'!D42</x:f>
        <x:v>0</x:v>
      </x:c>
      <x:c r="E42" s="4"/>
      <x:c r="F42" s="4"/>
      <x:c r="G42" s="4"/>
      <x:c r="H42" s="4"/>
      <x:c r="I42" s="4"/>
      <x:c r="J42" s="4"/>
      <x:c r="K42" s="4"/>
      <x:c r="L42" s="3" t="str">
        <x:f>IF(AND(E42="완료",F42="완료",G42="완료",H42="완료"),"완료","확인필요")</x:f>
        <x:v>확인필요</x:v>
      </x:c>
      <x:c r="M42" s="4"/>
      <x:c r="N42" s="4"/>
    </x:row>
    <x:row r="43" spans="1:14">
      <x:c r="A43" s="3">
        <x:f>'1_참가선수입력'!A43</x:f>
        <x:v>40</x:v>
      </x:c>
      <x:c r="B43" s="3">
        <x:f>'1_참가선수입력'!E43</x:f>
        <x:v>0</x:v>
      </x:c>
      <x:c r="C43" s="3">
        <x:f>'1_참가선수입력'!C43</x:f>
        <x:v>0</x:v>
      </x:c>
      <x:c r="D43" s="3">
        <x:f>'1_참가선수입력'!D43</x:f>
        <x:v>0</x:v>
      </x:c>
      <x:c r="E43" s="4"/>
      <x:c r="F43" s="4"/>
      <x:c r="G43" s="4"/>
      <x:c r="H43" s="4"/>
      <x:c r="I43" s="4"/>
      <x:c r="J43" s="4"/>
      <x:c r="K43" s="4"/>
      <x:c r="L43" s="3" t="str">
        <x:f>IF(AND(E43="완료",F43="완료",G43="완료",H43="완료"),"완료","확인필요")</x:f>
        <x:v>확인필요</x:v>
      </x:c>
      <x:c r="M43" s="4"/>
      <x:c r="N43" s="4"/>
    </x:row>
    <x:row r="44" spans="1:14">
      <x:c r="A44" s="3">
        <x:f>'1_참가선수입력'!A44</x:f>
        <x:v>41</x:v>
      </x:c>
      <x:c r="B44" s="3">
        <x:f>'1_참가선수입력'!E44</x:f>
        <x:v>0</x:v>
      </x:c>
      <x:c r="C44" s="3">
        <x:f>'1_참가선수입력'!C44</x:f>
        <x:v>0</x:v>
      </x:c>
      <x:c r="D44" s="3">
        <x:f>'1_참가선수입력'!D44</x:f>
        <x:v>0</x:v>
      </x:c>
      <x:c r="E44" s="4"/>
      <x:c r="F44" s="4"/>
      <x:c r="G44" s="4"/>
      <x:c r="H44" s="4"/>
      <x:c r="I44" s="4"/>
      <x:c r="J44" s="4"/>
      <x:c r="K44" s="4"/>
      <x:c r="L44" s="3" t="str">
        <x:f>IF(AND(E44="완료",F44="완료",G44="완료",H44="완료"),"완료","확인필요")</x:f>
        <x:v>확인필요</x:v>
      </x:c>
      <x:c r="M44" s="4"/>
      <x:c r="N44" s="4"/>
    </x:row>
    <x:row r="45" spans="1:14">
      <x:c r="A45" s="3">
        <x:f>'1_참가선수입력'!A45</x:f>
        <x:v>42</x:v>
      </x:c>
      <x:c r="B45" s="3">
        <x:f>'1_참가선수입력'!E45</x:f>
        <x:v>0</x:v>
      </x:c>
      <x:c r="C45" s="3">
        <x:f>'1_참가선수입력'!C45</x:f>
        <x:v>0</x:v>
      </x:c>
      <x:c r="D45" s="3">
        <x:f>'1_참가선수입력'!D45</x:f>
        <x:v>0</x:v>
      </x:c>
      <x:c r="E45" s="4"/>
      <x:c r="F45" s="4"/>
      <x:c r="G45" s="4"/>
      <x:c r="H45" s="4"/>
      <x:c r="I45" s="4"/>
      <x:c r="J45" s="4"/>
      <x:c r="K45" s="4"/>
      <x:c r="L45" s="3" t="str">
        <x:f>IF(AND(E45="완료",F45="완료",G45="완료",H45="완료"),"완료","확인필요")</x:f>
        <x:v>확인필요</x:v>
      </x:c>
      <x:c r="M45" s="4"/>
      <x:c r="N45" s="4"/>
    </x:row>
    <x:row r="46" spans="1:14">
      <x:c r="A46" s="3">
        <x:f>'1_참가선수입력'!A46</x:f>
        <x:v>43</x:v>
      </x:c>
      <x:c r="B46" s="3">
        <x:f>'1_참가선수입력'!E46</x:f>
        <x:v>0</x:v>
      </x:c>
      <x:c r="C46" s="3">
        <x:f>'1_참가선수입력'!C46</x:f>
        <x:v>0</x:v>
      </x:c>
      <x:c r="D46" s="3">
        <x:f>'1_참가선수입력'!D46</x:f>
        <x:v>0</x:v>
      </x:c>
      <x:c r="E46" s="4"/>
      <x:c r="F46" s="4"/>
      <x:c r="G46" s="4"/>
      <x:c r="H46" s="4"/>
      <x:c r="I46" s="4"/>
      <x:c r="J46" s="4"/>
      <x:c r="K46" s="4"/>
      <x:c r="L46" s="3" t="str">
        <x:f>IF(AND(E46="완료",F46="완료",G46="완료",H46="완료"),"완료","확인필요")</x:f>
        <x:v>확인필요</x:v>
      </x:c>
      <x:c r="M46" s="4"/>
      <x:c r="N46" s="4"/>
    </x:row>
    <x:row r="47" spans="1:14">
      <x:c r="A47" s="3">
        <x:f>'1_참가선수입력'!A47</x:f>
        <x:v>44</x:v>
      </x:c>
      <x:c r="B47" s="3">
        <x:f>'1_참가선수입력'!E47</x:f>
        <x:v>0</x:v>
      </x:c>
      <x:c r="C47" s="3">
        <x:f>'1_참가선수입력'!C47</x:f>
        <x:v>0</x:v>
      </x:c>
      <x:c r="D47" s="3">
        <x:f>'1_참가선수입력'!D47</x:f>
        <x:v>0</x:v>
      </x:c>
      <x:c r="E47" s="4"/>
      <x:c r="F47" s="4"/>
      <x:c r="G47" s="4"/>
      <x:c r="H47" s="4"/>
      <x:c r="I47" s="4"/>
      <x:c r="J47" s="4"/>
      <x:c r="K47" s="4"/>
      <x:c r="L47" s="3" t="str">
        <x:f>IF(AND(E47="완료",F47="완료",G47="완료",H47="완료"),"완료","확인필요")</x:f>
        <x:v>확인필요</x:v>
      </x:c>
      <x:c r="M47" s="4"/>
      <x:c r="N47" s="4"/>
    </x:row>
    <x:row r="48" spans="1:14">
      <x:c r="A48" s="3">
        <x:f>'1_참가선수입력'!A48</x:f>
        <x:v>45</x:v>
      </x:c>
      <x:c r="B48" s="3">
        <x:f>'1_참가선수입력'!E48</x:f>
        <x:v>0</x:v>
      </x:c>
      <x:c r="C48" s="3">
        <x:f>'1_참가선수입력'!C48</x:f>
        <x:v>0</x:v>
      </x:c>
      <x:c r="D48" s="3">
        <x:f>'1_참가선수입력'!D48</x:f>
        <x:v>0</x:v>
      </x:c>
      <x:c r="E48" s="4"/>
      <x:c r="F48" s="4"/>
      <x:c r="G48" s="4"/>
      <x:c r="H48" s="4"/>
      <x:c r="I48" s="4"/>
      <x:c r="J48" s="4"/>
      <x:c r="K48" s="4"/>
      <x:c r="L48" s="3" t="str">
        <x:f>IF(AND(E48="완료",F48="완료",G48="완료",H48="완료"),"완료","확인필요")</x:f>
        <x:v>확인필요</x:v>
      </x:c>
      <x:c r="M48" s="4"/>
      <x:c r="N48" s="4"/>
    </x:row>
    <x:row r="49" spans="1:14">
      <x:c r="A49" s="3">
        <x:f>'1_참가선수입력'!A49</x:f>
        <x:v>46</x:v>
      </x:c>
      <x:c r="B49" s="3">
        <x:f>'1_참가선수입력'!E49</x:f>
        <x:v>0</x:v>
      </x:c>
      <x:c r="C49" s="3">
        <x:f>'1_참가선수입력'!C49</x:f>
        <x:v>0</x:v>
      </x:c>
      <x:c r="D49" s="3">
        <x:f>'1_참가선수입력'!D49</x:f>
        <x:v>0</x:v>
      </x:c>
      <x:c r="E49" s="4"/>
      <x:c r="F49" s="4"/>
      <x:c r="G49" s="4"/>
      <x:c r="H49" s="4"/>
      <x:c r="I49" s="4"/>
      <x:c r="J49" s="4"/>
      <x:c r="K49" s="4"/>
      <x:c r="L49" s="3" t="str">
        <x:f>IF(AND(E49="완료",F49="완료",G49="완료",H49="완료"),"완료","확인필요")</x:f>
        <x:v>확인필요</x:v>
      </x:c>
      <x:c r="M49" s="4"/>
      <x:c r="N49" s="4"/>
    </x:row>
    <x:row r="50" spans="1:14">
      <x:c r="A50" s="3">
        <x:f>'1_참가선수입력'!A50</x:f>
        <x:v>47</x:v>
      </x:c>
      <x:c r="B50" s="3">
        <x:f>'1_참가선수입력'!E50</x:f>
        <x:v>0</x:v>
      </x:c>
      <x:c r="C50" s="3">
        <x:f>'1_참가선수입력'!C50</x:f>
        <x:v>0</x:v>
      </x:c>
      <x:c r="D50" s="3">
        <x:f>'1_참가선수입력'!D50</x:f>
        <x:v>0</x:v>
      </x:c>
      <x:c r="E50" s="4"/>
      <x:c r="F50" s="4"/>
      <x:c r="G50" s="4"/>
      <x:c r="H50" s="4"/>
      <x:c r="I50" s="4"/>
      <x:c r="J50" s="4"/>
      <x:c r="K50" s="4"/>
      <x:c r="L50" s="3" t="str">
        <x:f>IF(AND(E50="완료",F50="완료",G50="완료",H50="완료"),"완료","확인필요")</x:f>
        <x:v>확인필요</x:v>
      </x:c>
      <x:c r="M50" s="4"/>
      <x:c r="N50" s="4"/>
    </x:row>
    <x:row r="51" spans="1:14">
      <x:c r="A51" s="3">
        <x:f>'1_참가선수입력'!A51</x:f>
        <x:v>48</x:v>
      </x:c>
      <x:c r="B51" s="3">
        <x:f>'1_참가선수입력'!E51</x:f>
        <x:v>0</x:v>
      </x:c>
      <x:c r="C51" s="3">
        <x:f>'1_참가선수입력'!C51</x:f>
        <x:v>0</x:v>
      </x:c>
      <x:c r="D51" s="3">
        <x:f>'1_참가선수입력'!D51</x:f>
        <x:v>0</x:v>
      </x:c>
      <x:c r="E51" s="4"/>
      <x:c r="F51" s="4"/>
      <x:c r="G51" s="4"/>
      <x:c r="H51" s="4"/>
      <x:c r="I51" s="4"/>
      <x:c r="J51" s="4"/>
      <x:c r="K51" s="4"/>
      <x:c r="L51" s="3" t="str">
        <x:f>IF(AND(E51="완료",F51="완료",G51="완료",H51="완료"),"완료","확인필요")</x:f>
        <x:v>확인필요</x:v>
      </x:c>
      <x:c r="M51" s="4"/>
      <x:c r="N51" s="4"/>
    </x:row>
    <x:row r="52" spans="1:14">
      <x:c r="A52" s="3">
        <x:f>'1_참가선수입력'!A52</x:f>
        <x:v>49</x:v>
      </x:c>
      <x:c r="B52" s="3">
        <x:f>'1_참가선수입력'!E52</x:f>
        <x:v>0</x:v>
      </x:c>
      <x:c r="C52" s="3">
        <x:f>'1_참가선수입력'!C52</x:f>
        <x:v>0</x:v>
      </x:c>
      <x:c r="D52" s="3">
        <x:f>'1_참가선수입력'!D52</x:f>
        <x:v>0</x:v>
      </x:c>
      <x:c r="E52" s="4"/>
      <x:c r="F52" s="4"/>
      <x:c r="G52" s="4"/>
      <x:c r="H52" s="4"/>
      <x:c r="I52" s="4"/>
      <x:c r="J52" s="4"/>
      <x:c r="K52" s="4"/>
      <x:c r="L52" s="3" t="str">
        <x:f>IF(AND(E52="완료",F52="완료",G52="완료",H52="완료"),"완료","확인필요")</x:f>
        <x:v>확인필요</x:v>
      </x:c>
      <x:c r="M52" s="4"/>
      <x:c r="N52" s="4"/>
    </x:row>
    <x:row r="53" spans="1:14">
      <x:c r="A53" s="3">
        <x:f>'1_참가선수입력'!A53</x:f>
        <x:v>50</x:v>
      </x:c>
      <x:c r="B53" s="3">
        <x:f>'1_참가선수입력'!E53</x:f>
        <x:v>0</x:v>
      </x:c>
      <x:c r="C53" s="3">
        <x:f>'1_참가선수입력'!C53</x:f>
        <x:v>0</x:v>
      </x:c>
      <x:c r="D53" s="3">
        <x:f>'1_참가선수입력'!D53</x:f>
        <x:v>0</x:v>
      </x:c>
      <x:c r="E53" s="4"/>
      <x:c r="F53" s="4"/>
      <x:c r="G53" s="4"/>
      <x:c r="H53" s="4"/>
      <x:c r="I53" s="4"/>
      <x:c r="J53" s="4"/>
      <x:c r="K53" s="4"/>
      <x:c r="L53" s="3" t="str">
        <x:f>IF(AND(E53="완료",F53="완료",G53="완료",H53="완료"),"완료","확인필요")</x:f>
        <x:v>확인필요</x:v>
      </x:c>
      <x:c r="M53" s="4"/>
      <x:c r="N53" s="4"/>
    </x:row>
    <x:row r="54" spans="1:14">
      <x:c r="A54" s="3">
        <x:f>'1_참가선수입력'!A54</x:f>
        <x:v>51</x:v>
      </x:c>
      <x:c r="B54" s="3">
        <x:f>'1_참가선수입력'!E54</x:f>
        <x:v>0</x:v>
      </x:c>
      <x:c r="C54" s="3">
        <x:f>'1_참가선수입력'!C54</x:f>
        <x:v>0</x:v>
      </x:c>
      <x:c r="D54" s="3">
        <x:f>'1_참가선수입력'!D54</x:f>
        <x:v>0</x:v>
      </x:c>
      <x:c r="E54" s="4"/>
      <x:c r="F54" s="4"/>
      <x:c r="G54" s="4"/>
      <x:c r="H54" s="4"/>
      <x:c r="I54" s="4"/>
      <x:c r="J54" s="4"/>
      <x:c r="K54" s="4"/>
      <x:c r="L54" s="3" t="str">
        <x:f>IF(AND(E54="완료",F54="완료",G54="완료",H54="완료"),"완료","확인필요")</x:f>
        <x:v>확인필요</x:v>
      </x:c>
      <x:c r="M54" s="4"/>
      <x:c r="N54" s="4"/>
    </x:row>
    <x:row r="55" spans="1:14">
      <x:c r="A55" s="3">
        <x:f>'1_참가선수입력'!A55</x:f>
        <x:v>52</x:v>
      </x:c>
      <x:c r="B55" s="3">
        <x:f>'1_참가선수입력'!E55</x:f>
        <x:v>0</x:v>
      </x:c>
      <x:c r="C55" s="3">
        <x:f>'1_참가선수입력'!C55</x:f>
        <x:v>0</x:v>
      </x:c>
      <x:c r="D55" s="3">
        <x:f>'1_참가선수입력'!D55</x:f>
        <x:v>0</x:v>
      </x:c>
      <x:c r="E55" s="4"/>
      <x:c r="F55" s="4"/>
      <x:c r="G55" s="4"/>
      <x:c r="H55" s="4"/>
      <x:c r="I55" s="4"/>
      <x:c r="J55" s="4"/>
      <x:c r="K55" s="4"/>
      <x:c r="L55" s="3" t="str">
        <x:f>IF(AND(E55="완료",F55="완료",G55="완료",H55="완료"),"완료","확인필요")</x:f>
        <x:v>확인필요</x:v>
      </x:c>
      <x:c r="M55" s="4"/>
      <x:c r="N55" s="4"/>
    </x:row>
    <x:row r="56" spans="1:14">
      <x:c r="A56" s="3">
        <x:f>'1_참가선수입력'!A56</x:f>
        <x:v>53</x:v>
      </x:c>
      <x:c r="B56" s="3">
        <x:f>'1_참가선수입력'!E56</x:f>
        <x:v>0</x:v>
      </x:c>
      <x:c r="C56" s="3">
        <x:f>'1_참가선수입력'!C56</x:f>
        <x:v>0</x:v>
      </x:c>
      <x:c r="D56" s="3">
        <x:f>'1_참가선수입력'!D56</x:f>
        <x:v>0</x:v>
      </x:c>
      <x:c r="E56" s="4"/>
      <x:c r="F56" s="4"/>
      <x:c r="G56" s="4"/>
      <x:c r="H56" s="4"/>
      <x:c r="I56" s="4"/>
      <x:c r="J56" s="4"/>
      <x:c r="K56" s="4"/>
      <x:c r="L56" s="3" t="str">
        <x:f>IF(AND(E56="완료",F56="완료",G56="완료",H56="완료"),"완료","확인필요")</x:f>
        <x:v>확인필요</x:v>
      </x:c>
      <x:c r="M56" s="4"/>
      <x:c r="N56" s="4"/>
    </x:row>
    <x:row r="57" spans="1:14">
      <x:c r="A57" s="3">
        <x:f>'1_참가선수입력'!A57</x:f>
        <x:v>54</x:v>
      </x:c>
      <x:c r="B57" s="3">
        <x:f>'1_참가선수입력'!E57</x:f>
        <x:v>0</x:v>
      </x:c>
      <x:c r="C57" s="3">
        <x:f>'1_참가선수입력'!C57</x:f>
        <x:v>0</x:v>
      </x:c>
      <x:c r="D57" s="3">
        <x:f>'1_참가선수입력'!D57</x:f>
        <x:v>0</x:v>
      </x:c>
      <x:c r="E57" s="4"/>
      <x:c r="F57" s="4"/>
      <x:c r="G57" s="4"/>
      <x:c r="H57" s="4"/>
      <x:c r="I57" s="4"/>
      <x:c r="J57" s="4"/>
      <x:c r="K57" s="4"/>
      <x:c r="L57" s="3" t="str">
        <x:f>IF(AND(E57="완료",F57="완료",G57="완료",H57="완료"),"완료","확인필요")</x:f>
        <x:v>확인필요</x:v>
      </x:c>
      <x:c r="M57" s="4"/>
      <x:c r="N57" s="4"/>
    </x:row>
    <x:row r="58" spans="1:14">
      <x:c r="A58" s="3">
        <x:f>'1_참가선수입력'!A58</x:f>
        <x:v>55</x:v>
      </x:c>
      <x:c r="B58" s="3">
        <x:f>'1_참가선수입력'!E58</x:f>
        <x:v>0</x:v>
      </x:c>
      <x:c r="C58" s="3">
        <x:f>'1_참가선수입력'!C58</x:f>
        <x:v>0</x:v>
      </x:c>
      <x:c r="D58" s="3">
        <x:f>'1_참가선수입력'!D58</x:f>
        <x:v>0</x:v>
      </x:c>
      <x:c r="E58" s="4"/>
      <x:c r="F58" s="4"/>
      <x:c r="G58" s="4"/>
      <x:c r="H58" s="4"/>
      <x:c r="I58" s="4"/>
      <x:c r="J58" s="4"/>
      <x:c r="K58" s="4"/>
      <x:c r="L58" s="3" t="str">
        <x:f>IF(AND(E58="완료",F58="완료",G58="완료",H58="완료"),"완료","확인필요")</x:f>
        <x:v>확인필요</x:v>
      </x:c>
      <x:c r="M58" s="4"/>
      <x:c r="N58" s="4"/>
    </x:row>
    <x:row r="59" spans="1:14">
      <x:c r="A59" s="3">
        <x:f>'1_참가선수입력'!A59</x:f>
        <x:v>56</x:v>
      </x:c>
      <x:c r="B59" s="3">
        <x:f>'1_참가선수입력'!E59</x:f>
        <x:v>0</x:v>
      </x:c>
      <x:c r="C59" s="3">
        <x:f>'1_참가선수입력'!C59</x:f>
        <x:v>0</x:v>
      </x:c>
      <x:c r="D59" s="3">
        <x:f>'1_참가선수입력'!D59</x:f>
        <x:v>0</x:v>
      </x:c>
      <x:c r="E59" s="4"/>
      <x:c r="F59" s="4"/>
      <x:c r="G59" s="4"/>
      <x:c r="H59" s="4"/>
      <x:c r="I59" s="4"/>
      <x:c r="J59" s="4"/>
      <x:c r="K59" s="4"/>
      <x:c r="L59" s="3" t="str">
        <x:f>IF(AND(E59="완료",F59="완료",G59="완료",H59="완료"),"완료","확인필요")</x:f>
        <x:v>확인필요</x:v>
      </x:c>
      <x:c r="M59" s="4"/>
      <x:c r="N59" s="4"/>
    </x:row>
    <x:row r="60" spans="1:14">
      <x:c r="A60" s="3">
        <x:f>'1_참가선수입력'!A60</x:f>
        <x:v>57</x:v>
      </x:c>
      <x:c r="B60" s="3">
        <x:f>'1_참가선수입력'!E60</x:f>
        <x:v>0</x:v>
      </x:c>
      <x:c r="C60" s="3">
        <x:f>'1_참가선수입력'!C60</x:f>
        <x:v>0</x:v>
      </x:c>
      <x:c r="D60" s="3">
        <x:f>'1_참가선수입력'!D60</x:f>
        <x:v>0</x:v>
      </x:c>
      <x:c r="E60" s="4"/>
      <x:c r="F60" s="4"/>
      <x:c r="G60" s="4"/>
      <x:c r="H60" s="4"/>
      <x:c r="I60" s="4"/>
      <x:c r="J60" s="4"/>
      <x:c r="K60" s="4"/>
      <x:c r="L60" s="3" t="str">
        <x:f>IF(AND(E60="완료",F60="완료",G60="완료",H60="완료"),"완료","확인필요")</x:f>
        <x:v>확인필요</x:v>
      </x:c>
      <x:c r="M60" s="4"/>
      <x:c r="N60" s="4"/>
    </x:row>
    <x:row r="61" spans="1:14">
      <x:c r="A61" s="3">
        <x:f>'1_참가선수입력'!A61</x:f>
        <x:v>58</x:v>
      </x:c>
      <x:c r="B61" s="3">
        <x:f>'1_참가선수입력'!E61</x:f>
        <x:v>0</x:v>
      </x:c>
      <x:c r="C61" s="3">
        <x:f>'1_참가선수입력'!C61</x:f>
        <x:v>0</x:v>
      </x:c>
      <x:c r="D61" s="3">
        <x:f>'1_참가선수입력'!D61</x:f>
        <x:v>0</x:v>
      </x:c>
      <x:c r="E61" s="4"/>
      <x:c r="F61" s="4"/>
      <x:c r="G61" s="4"/>
      <x:c r="H61" s="4"/>
      <x:c r="I61" s="4"/>
      <x:c r="J61" s="4"/>
      <x:c r="K61" s="4"/>
      <x:c r="L61" s="3" t="str">
        <x:f>IF(AND(E61="완료",F61="완료",G61="완료",H61="완료"),"완료","확인필요")</x:f>
        <x:v>확인필요</x:v>
      </x:c>
      <x:c r="M61" s="4"/>
      <x:c r="N61" s="4"/>
    </x:row>
    <x:row r="62" spans="1:14">
      <x:c r="A62" s="3">
        <x:f>'1_참가선수입력'!A62</x:f>
        <x:v>59</x:v>
      </x:c>
      <x:c r="B62" s="3">
        <x:f>'1_참가선수입력'!E62</x:f>
        <x:v>0</x:v>
      </x:c>
      <x:c r="C62" s="3">
        <x:f>'1_참가선수입력'!C62</x:f>
        <x:v>0</x:v>
      </x:c>
      <x:c r="D62" s="3">
        <x:f>'1_참가선수입력'!D62</x:f>
        <x:v>0</x:v>
      </x:c>
      <x:c r="E62" s="4"/>
      <x:c r="F62" s="4"/>
      <x:c r="G62" s="4"/>
      <x:c r="H62" s="4"/>
      <x:c r="I62" s="4"/>
      <x:c r="J62" s="4"/>
      <x:c r="K62" s="4"/>
      <x:c r="L62" s="3" t="str">
        <x:f>IF(AND(E62="완료",F62="완료",G62="완료",H62="완료"),"완료","확인필요")</x:f>
        <x:v>확인필요</x:v>
      </x:c>
      <x:c r="M62" s="4"/>
      <x:c r="N62" s="4"/>
    </x:row>
    <x:row r="63" spans="1:14">
      <x:c r="A63" s="3">
        <x:f>'1_참가선수입력'!A63</x:f>
        <x:v>60</x:v>
      </x:c>
      <x:c r="B63" s="3">
        <x:f>'1_참가선수입력'!E63</x:f>
        <x:v>0</x:v>
      </x:c>
      <x:c r="C63" s="3">
        <x:f>'1_참가선수입력'!C63</x:f>
        <x:v>0</x:v>
      </x:c>
      <x:c r="D63" s="3">
        <x:f>'1_참가선수입력'!D63</x:f>
        <x:v>0</x:v>
      </x:c>
      <x:c r="E63" s="4"/>
      <x:c r="F63" s="4"/>
      <x:c r="G63" s="4"/>
      <x:c r="H63" s="4"/>
      <x:c r="I63" s="4"/>
      <x:c r="J63" s="4"/>
      <x:c r="K63" s="4"/>
      <x:c r="L63" s="3" t="str">
        <x:f>IF(AND(E63="완료",F63="완료",G63="완료",H63="완료"),"완료","확인필요")</x:f>
        <x:v>확인필요</x:v>
      </x:c>
      <x:c r="M63" s="4"/>
      <x:c r="N63" s="4"/>
    </x:row>
    <x:row r="64" spans="1:14">
      <x:c r="A64" s="3">
        <x:f>'1_참가선수입력'!A64</x:f>
        <x:v>61</x:v>
      </x:c>
      <x:c r="B64" s="3">
        <x:f>'1_참가선수입력'!E64</x:f>
        <x:v>0</x:v>
      </x:c>
      <x:c r="C64" s="3">
        <x:f>'1_참가선수입력'!C64</x:f>
        <x:v>0</x:v>
      </x:c>
      <x:c r="D64" s="3">
        <x:f>'1_참가선수입력'!D64</x:f>
        <x:v>0</x:v>
      </x:c>
      <x:c r="E64" s="4"/>
      <x:c r="F64" s="4"/>
      <x:c r="G64" s="4"/>
      <x:c r="H64" s="4"/>
      <x:c r="I64" s="4"/>
      <x:c r="J64" s="4"/>
      <x:c r="K64" s="4"/>
      <x:c r="L64" s="3" t="str">
        <x:f>IF(AND(E64="완료",F64="완료",G64="완료",H64="완료"),"완료","확인필요")</x:f>
        <x:v>확인필요</x:v>
      </x:c>
      <x:c r="M64" s="4"/>
      <x:c r="N64" s="4"/>
    </x:row>
    <x:row r="65" spans="1:14">
      <x:c r="A65" s="3">
        <x:f>'1_참가선수입력'!A65</x:f>
        <x:v>62</x:v>
      </x:c>
      <x:c r="B65" s="3">
        <x:f>'1_참가선수입력'!E65</x:f>
        <x:v>0</x:v>
      </x:c>
      <x:c r="C65" s="3">
        <x:f>'1_참가선수입력'!C65</x:f>
        <x:v>0</x:v>
      </x:c>
      <x:c r="D65" s="3">
        <x:f>'1_참가선수입력'!D65</x:f>
        <x:v>0</x:v>
      </x:c>
      <x:c r="E65" s="4"/>
      <x:c r="F65" s="4"/>
      <x:c r="G65" s="4"/>
      <x:c r="H65" s="4"/>
      <x:c r="I65" s="4"/>
      <x:c r="J65" s="4"/>
      <x:c r="K65" s="4"/>
      <x:c r="L65" s="3" t="str">
        <x:f>IF(AND(E65="완료",F65="완료",G65="완료",H65="완료"),"완료","확인필요")</x:f>
        <x:v>확인필요</x:v>
      </x:c>
      <x:c r="M65" s="4"/>
      <x:c r="N65" s="4"/>
    </x:row>
    <x:row r="66" spans="1:14">
      <x:c r="A66" s="3">
        <x:f>'1_참가선수입력'!A66</x:f>
        <x:v>63</x:v>
      </x:c>
      <x:c r="B66" s="3">
        <x:f>'1_참가선수입력'!E66</x:f>
        <x:v>0</x:v>
      </x:c>
      <x:c r="C66" s="3">
        <x:f>'1_참가선수입력'!C66</x:f>
        <x:v>0</x:v>
      </x:c>
      <x:c r="D66" s="3">
        <x:f>'1_참가선수입력'!D66</x:f>
        <x:v>0</x:v>
      </x:c>
      <x:c r="E66" s="4"/>
      <x:c r="F66" s="4"/>
      <x:c r="G66" s="4"/>
      <x:c r="H66" s="4"/>
      <x:c r="I66" s="4"/>
      <x:c r="J66" s="4"/>
      <x:c r="K66" s="4"/>
      <x:c r="L66" s="3" t="str">
        <x:f>IF(AND(E66="완료",F66="완료",G66="완료",H66="완료"),"완료","확인필요")</x:f>
        <x:v>확인필요</x:v>
      </x:c>
      <x:c r="M66" s="4"/>
      <x:c r="N66" s="4"/>
    </x:row>
    <x:row r="67" spans="1:14">
      <x:c r="A67" s="3">
        <x:f>'1_참가선수입력'!A67</x:f>
        <x:v>64</x:v>
      </x:c>
      <x:c r="B67" s="3">
        <x:f>'1_참가선수입력'!E67</x:f>
        <x:v>0</x:v>
      </x:c>
      <x:c r="C67" s="3">
        <x:f>'1_참가선수입력'!C67</x:f>
        <x:v>0</x:v>
      </x:c>
      <x:c r="D67" s="3">
        <x:f>'1_참가선수입력'!D67</x:f>
        <x:v>0</x:v>
      </x:c>
      <x:c r="E67" s="4"/>
      <x:c r="F67" s="4"/>
      <x:c r="G67" s="4"/>
      <x:c r="H67" s="4"/>
      <x:c r="I67" s="4"/>
      <x:c r="J67" s="4"/>
      <x:c r="K67" s="4"/>
      <x:c r="L67" s="3" t="str">
        <x:f>IF(AND(E67="완료",F67="완료",G67="완료",H67="완료"),"완료","확인필요")</x:f>
        <x:v>확인필요</x:v>
      </x:c>
      <x:c r="M67" s="4"/>
      <x:c r="N67" s="4"/>
    </x:row>
    <x:row r="68" spans="1:14">
      <x:c r="A68" s="3">
        <x:f>'1_참가선수입력'!A68</x:f>
        <x:v>65</x:v>
      </x:c>
      <x:c r="B68" s="3">
        <x:f>'1_참가선수입력'!E68</x:f>
        <x:v>0</x:v>
      </x:c>
      <x:c r="C68" s="3">
        <x:f>'1_참가선수입력'!C68</x:f>
        <x:v>0</x:v>
      </x:c>
      <x:c r="D68" s="3">
        <x:f>'1_참가선수입력'!D68</x:f>
        <x:v>0</x:v>
      </x:c>
      <x:c r="E68" s="4"/>
      <x:c r="F68" s="4"/>
      <x:c r="G68" s="4"/>
      <x:c r="H68" s="4"/>
      <x:c r="I68" s="4"/>
      <x:c r="J68" s="4"/>
      <x:c r="K68" s="4"/>
      <x:c r="L68" s="3" t="str">
        <x:f>IF(AND(E68="완료",F68="완료",G68="완료",H68="완료"),"완료","확인필요")</x:f>
        <x:v>확인필요</x:v>
      </x:c>
      <x:c r="M68" s="4"/>
      <x:c r="N68" s="4"/>
    </x:row>
    <x:row r="69" spans="1:14">
      <x:c r="A69" s="3">
        <x:f>'1_참가선수입력'!A69</x:f>
        <x:v>66</x:v>
      </x:c>
      <x:c r="B69" s="3">
        <x:f>'1_참가선수입력'!E69</x:f>
        <x:v>0</x:v>
      </x:c>
      <x:c r="C69" s="3">
        <x:f>'1_참가선수입력'!C69</x:f>
        <x:v>0</x:v>
      </x:c>
      <x:c r="D69" s="3">
        <x:f>'1_참가선수입력'!D69</x:f>
        <x:v>0</x:v>
      </x:c>
      <x:c r="E69" s="4"/>
      <x:c r="F69" s="4"/>
      <x:c r="G69" s="4"/>
      <x:c r="H69" s="4"/>
      <x:c r="I69" s="4"/>
      <x:c r="J69" s="4"/>
      <x:c r="K69" s="4"/>
      <x:c r="L69" s="3" t="str">
        <x:f>IF(AND(E69="완료",F69="완료",G69="완료",H69="완료"),"완료","확인필요")</x:f>
        <x:v>확인필요</x:v>
      </x:c>
      <x:c r="M69" s="4"/>
      <x:c r="N69" s="4"/>
    </x:row>
    <x:row r="70" spans="1:14">
      <x:c r="A70" s="3">
        <x:f>'1_참가선수입력'!A70</x:f>
        <x:v>67</x:v>
      </x:c>
      <x:c r="B70" s="3">
        <x:f>'1_참가선수입력'!E70</x:f>
        <x:v>0</x:v>
      </x:c>
      <x:c r="C70" s="3">
        <x:f>'1_참가선수입력'!C70</x:f>
        <x:v>0</x:v>
      </x:c>
      <x:c r="D70" s="3">
        <x:f>'1_참가선수입력'!D70</x:f>
        <x:v>0</x:v>
      </x:c>
      <x:c r="E70" s="4"/>
      <x:c r="F70" s="4"/>
      <x:c r="G70" s="4"/>
      <x:c r="H70" s="4"/>
      <x:c r="I70" s="4"/>
      <x:c r="J70" s="4"/>
      <x:c r="K70" s="4"/>
      <x:c r="L70" s="3" t="str">
        <x:f>IF(AND(E70="완료",F70="완료",G70="완료",H70="완료"),"완료","확인필요")</x:f>
        <x:v>확인필요</x:v>
      </x:c>
      <x:c r="M70" s="4"/>
      <x:c r="N70" s="4"/>
    </x:row>
    <x:row r="71" spans="1:14">
      <x:c r="A71" s="3">
        <x:f>'1_참가선수입력'!A71</x:f>
        <x:v>68</x:v>
      </x:c>
      <x:c r="B71" s="3">
        <x:f>'1_참가선수입력'!E71</x:f>
        <x:v>0</x:v>
      </x:c>
      <x:c r="C71" s="3">
        <x:f>'1_참가선수입력'!C71</x:f>
        <x:v>0</x:v>
      </x:c>
      <x:c r="D71" s="3">
        <x:f>'1_참가선수입력'!D71</x:f>
        <x:v>0</x:v>
      </x:c>
      <x:c r="E71" s="4"/>
      <x:c r="F71" s="4"/>
      <x:c r="G71" s="4"/>
      <x:c r="H71" s="4"/>
      <x:c r="I71" s="4"/>
      <x:c r="J71" s="4"/>
      <x:c r="K71" s="4"/>
      <x:c r="L71" s="3" t="str">
        <x:f>IF(AND(E71="완료",F71="완료",G71="완료",H71="완료"),"완료","확인필요")</x:f>
        <x:v>확인필요</x:v>
      </x:c>
      <x:c r="M71" s="4"/>
      <x:c r="N71" s="4"/>
    </x:row>
    <x:row r="72" spans="1:14">
      <x:c r="A72" s="3">
        <x:f>'1_참가선수입력'!A72</x:f>
        <x:v>69</x:v>
      </x:c>
      <x:c r="B72" s="3">
        <x:f>'1_참가선수입력'!E72</x:f>
        <x:v>0</x:v>
      </x:c>
      <x:c r="C72" s="3">
        <x:f>'1_참가선수입력'!C72</x:f>
        <x:v>0</x:v>
      </x:c>
      <x:c r="D72" s="3">
        <x:f>'1_참가선수입력'!D72</x:f>
        <x:v>0</x:v>
      </x:c>
      <x:c r="E72" s="4"/>
      <x:c r="F72" s="4"/>
      <x:c r="G72" s="4"/>
      <x:c r="H72" s="4"/>
      <x:c r="I72" s="4"/>
      <x:c r="J72" s="4"/>
      <x:c r="K72" s="4"/>
      <x:c r="L72" s="3" t="str">
        <x:f>IF(AND(E72="완료",F72="완료",G72="완료",H72="완료"),"완료","확인필요")</x:f>
        <x:v>확인필요</x:v>
      </x:c>
      <x:c r="M72" s="4"/>
      <x:c r="N72" s="4"/>
    </x:row>
    <x:row r="73" spans="1:14">
      <x:c r="A73" s="3">
        <x:f>'1_참가선수입력'!A73</x:f>
        <x:v>70</x:v>
      </x:c>
      <x:c r="B73" s="3">
        <x:f>'1_참가선수입력'!E73</x:f>
        <x:v>0</x:v>
      </x:c>
      <x:c r="C73" s="3">
        <x:f>'1_참가선수입력'!C73</x:f>
        <x:v>0</x:v>
      </x:c>
      <x:c r="D73" s="3">
        <x:f>'1_참가선수입력'!D73</x:f>
        <x:v>0</x:v>
      </x:c>
      <x:c r="E73" s="4"/>
      <x:c r="F73" s="4"/>
      <x:c r="G73" s="4"/>
      <x:c r="H73" s="4"/>
      <x:c r="I73" s="4"/>
      <x:c r="J73" s="4"/>
      <x:c r="K73" s="4"/>
      <x:c r="L73" s="3" t="str">
        <x:f>IF(AND(E73="완료",F73="완료",G73="완료",H73="완료"),"완료","확인필요")</x:f>
        <x:v>확인필요</x:v>
      </x:c>
      <x:c r="M73" s="4"/>
      <x:c r="N73" s="4"/>
    </x:row>
    <x:row r="74" spans="1:14">
      <x:c r="A74" s="3">
        <x:f>'1_참가선수입력'!A74</x:f>
        <x:v>71</x:v>
      </x:c>
      <x:c r="B74" s="3">
        <x:f>'1_참가선수입력'!E74</x:f>
        <x:v>0</x:v>
      </x:c>
      <x:c r="C74" s="3">
        <x:f>'1_참가선수입력'!C74</x:f>
        <x:v>0</x:v>
      </x:c>
      <x:c r="D74" s="3">
        <x:f>'1_참가선수입력'!D74</x:f>
        <x:v>0</x:v>
      </x:c>
      <x:c r="E74" s="4"/>
      <x:c r="F74" s="4"/>
      <x:c r="G74" s="4"/>
      <x:c r="H74" s="4"/>
      <x:c r="I74" s="4"/>
      <x:c r="J74" s="4"/>
      <x:c r="K74" s="4"/>
      <x:c r="L74" s="3" t="str">
        <x:f>IF(AND(E74="완료",F74="완료",G74="완료",H74="완료"),"완료","확인필요")</x:f>
        <x:v>확인필요</x:v>
      </x:c>
      <x:c r="M74" s="4"/>
      <x:c r="N74" s="4"/>
    </x:row>
    <x:row r="75" spans="1:14">
      <x:c r="A75" s="3">
        <x:f>'1_참가선수입력'!A75</x:f>
        <x:v>72</x:v>
      </x:c>
      <x:c r="B75" s="3">
        <x:f>'1_참가선수입력'!E75</x:f>
        <x:v>0</x:v>
      </x:c>
      <x:c r="C75" s="3">
        <x:f>'1_참가선수입력'!C75</x:f>
        <x:v>0</x:v>
      </x:c>
      <x:c r="D75" s="3">
        <x:f>'1_참가선수입력'!D75</x:f>
        <x:v>0</x:v>
      </x:c>
      <x:c r="E75" s="4"/>
      <x:c r="F75" s="4"/>
      <x:c r="G75" s="4"/>
      <x:c r="H75" s="4"/>
      <x:c r="I75" s="4"/>
      <x:c r="J75" s="4"/>
      <x:c r="K75" s="4"/>
      <x:c r="L75" s="3" t="str">
        <x:f>IF(AND(E75="완료",F75="완료",G75="완료",H75="완료"),"완료","확인필요")</x:f>
        <x:v>확인필요</x:v>
      </x:c>
      <x:c r="M75" s="4"/>
      <x:c r="N75" s="4"/>
    </x:row>
    <x:row r="76" spans="1:14">
      <x:c r="A76" s="3">
        <x:f>'1_참가선수입력'!A76</x:f>
        <x:v>73</x:v>
      </x:c>
      <x:c r="B76" s="3">
        <x:f>'1_참가선수입력'!E76</x:f>
        <x:v>0</x:v>
      </x:c>
      <x:c r="C76" s="3">
        <x:f>'1_참가선수입력'!C76</x:f>
        <x:v>0</x:v>
      </x:c>
      <x:c r="D76" s="3">
        <x:f>'1_참가선수입력'!D76</x:f>
        <x:v>0</x:v>
      </x:c>
      <x:c r="E76" s="4"/>
      <x:c r="F76" s="4"/>
      <x:c r="G76" s="4"/>
      <x:c r="H76" s="4"/>
      <x:c r="I76" s="4"/>
      <x:c r="J76" s="4"/>
      <x:c r="K76" s="4"/>
      <x:c r="L76" s="3" t="str">
        <x:f>IF(AND(E76="완료",F76="완료",G76="완료",H76="완료"),"완료","확인필요")</x:f>
        <x:v>확인필요</x:v>
      </x:c>
      <x:c r="M76" s="4"/>
      <x:c r="N76" s="4"/>
    </x:row>
    <x:row r="77" spans="1:14">
      <x:c r="A77" s="3">
        <x:f>'1_참가선수입력'!A77</x:f>
        <x:v>74</x:v>
      </x:c>
      <x:c r="B77" s="3">
        <x:f>'1_참가선수입력'!E77</x:f>
        <x:v>0</x:v>
      </x:c>
      <x:c r="C77" s="3">
        <x:f>'1_참가선수입력'!C77</x:f>
        <x:v>0</x:v>
      </x:c>
      <x:c r="D77" s="3">
        <x:f>'1_참가선수입력'!D77</x:f>
        <x:v>0</x:v>
      </x:c>
      <x:c r="E77" s="4"/>
      <x:c r="F77" s="4"/>
      <x:c r="G77" s="4"/>
      <x:c r="H77" s="4"/>
      <x:c r="I77" s="4"/>
      <x:c r="J77" s="4"/>
      <x:c r="K77" s="4"/>
      <x:c r="L77" s="3" t="str">
        <x:f>IF(AND(E77="완료",F77="완료",G77="완료",H77="완료"),"완료","확인필요")</x:f>
        <x:v>확인필요</x:v>
      </x:c>
      <x:c r="M77" s="4"/>
      <x:c r="N77" s="4"/>
    </x:row>
    <x:row r="78" spans="1:14">
      <x:c r="A78" s="3">
        <x:f>'1_참가선수입력'!A78</x:f>
        <x:v>75</x:v>
      </x:c>
      <x:c r="B78" s="3">
        <x:f>'1_참가선수입력'!E78</x:f>
        <x:v>0</x:v>
      </x:c>
      <x:c r="C78" s="3">
        <x:f>'1_참가선수입력'!C78</x:f>
        <x:v>0</x:v>
      </x:c>
      <x:c r="D78" s="3">
        <x:f>'1_참가선수입력'!D78</x:f>
        <x:v>0</x:v>
      </x:c>
      <x:c r="E78" s="4"/>
      <x:c r="F78" s="4"/>
      <x:c r="G78" s="4"/>
      <x:c r="H78" s="4"/>
      <x:c r="I78" s="4"/>
      <x:c r="J78" s="4"/>
      <x:c r="K78" s="4"/>
      <x:c r="L78" s="3" t="str">
        <x:f>IF(AND(E78="완료",F78="완료",G78="완료",H78="완료"),"완료","확인필요")</x:f>
        <x:v>확인필요</x:v>
      </x:c>
      <x:c r="M78" s="4"/>
      <x:c r="N78" s="4"/>
    </x:row>
    <x:row r="79" spans="1:14">
      <x:c r="A79" s="3">
        <x:f>'1_참가선수입력'!A79</x:f>
        <x:v>76</x:v>
      </x:c>
      <x:c r="B79" s="3">
        <x:f>'1_참가선수입력'!E79</x:f>
        <x:v>0</x:v>
      </x:c>
      <x:c r="C79" s="3">
        <x:f>'1_참가선수입력'!C79</x:f>
        <x:v>0</x:v>
      </x:c>
      <x:c r="D79" s="3">
        <x:f>'1_참가선수입력'!D79</x:f>
        <x:v>0</x:v>
      </x:c>
      <x:c r="E79" s="4"/>
      <x:c r="F79" s="4"/>
      <x:c r="G79" s="4"/>
      <x:c r="H79" s="4"/>
      <x:c r="I79" s="4"/>
      <x:c r="J79" s="4"/>
      <x:c r="K79" s="4"/>
      <x:c r="L79" s="3" t="str">
        <x:f>IF(AND(E79="완료",F79="완료",G79="완료",H79="완료"),"완료","확인필요")</x:f>
        <x:v>확인필요</x:v>
      </x:c>
      <x:c r="M79" s="4"/>
      <x:c r="N79" s="4"/>
    </x:row>
    <x:row r="80" spans="1:14">
      <x:c r="A80" s="3">
        <x:f>'1_참가선수입력'!A80</x:f>
        <x:v>77</x:v>
      </x:c>
      <x:c r="B80" s="3">
        <x:f>'1_참가선수입력'!E80</x:f>
        <x:v>0</x:v>
      </x:c>
      <x:c r="C80" s="3">
        <x:f>'1_참가선수입력'!C80</x:f>
        <x:v>0</x:v>
      </x:c>
      <x:c r="D80" s="3">
        <x:f>'1_참가선수입력'!D80</x:f>
        <x:v>0</x:v>
      </x:c>
      <x:c r="E80" s="4"/>
      <x:c r="F80" s="4"/>
      <x:c r="G80" s="4"/>
      <x:c r="H80" s="4"/>
      <x:c r="I80" s="4"/>
      <x:c r="J80" s="4"/>
      <x:c r="K80" s="4"/>
      <x:c r="L80" s="3" t="str">
        <x:f>IF(AND(E80="완료",F80="완료",G80="완료",H80="완료"),"완료","확인필요")</x:f>
        <x:v>확인필요</x:v>
      </x:c>
      <x:c r="M80" s="4"/>
      <x:c r="N80" s="4"/>
    </x:row>
    <x:row r="81" spans="1:14">
      <x:c r="A81" s="3">
        <x:f>'1_참가선수입력'!A81</x:f>
        <x:v>78</x:v>
      </x:c>
      <x:c r="B81" s="3">
        <x:f>'1_참가선수입력'!E81</x:f>
        <x:v>0</x:v>
      </x:c>
      <x:c r="C81" s="3">
        <x:f>'1_참가선수입력'!C81</x:f>
        <x:v>0</x:v>
      </x:c>
      <x:c r="D81" s="3">
        <x:f>'1_참가선수입력'!D81</x:f>
        <x:v>0</x:v>
      </x:c>
      <x:c r="E81" s="4"/>
      <x:c r="F81" s="4"/>
      <x:c r="G81" s="4"/>
      <x:c r="H81" s="4"/>
      <x:c r="I81" s="4"/>
      <x:c r="J81" s="4"/>
      <x:c r="K81" s="4"/>
      <x:c r="L81" s="3" t="str">
        <x:f>IF(AND(E81="완료",F81="완료",G81="완료",H81="완료"),"완료","확인필요")</x:f>
        <x:v>확인필요</x:v>
      </x:c>
      <x:c r="M81" s="4"/>
      <x:c r="N81" s="4"/>
    </x:row>
    <x:row r="82" spans="1:14">
      <x:c r="A82" s="3">
        <x:f>'1_참가선수입력'!A82</x:f>
        <x:v>79</x:v>
      </x:c>
      <x:c r="B82" s="3">
        <x:f>'1_참가선수입력'!E82</x:f>
        <x:v>0</x:v>
      </x:c>
      <x:c r="C82" s="3">
        <x:f>'1_참가선수입력'!C82</x:f>
        <x:v>0</x:v>
      </x:c>
      <x:c r="D82" s="3">
        <x:f>'1_참가선수입력'!D82</x:f>
        <x:v>0</x:v>
      </x:c>
      <x:c r="E82" s="4"/>
      <x:c r="F82" s="4"/>
      <x:c r="G82" s="4"/>
      <x:c r="H82" s="4"/>
      <x:c r="I82" s="4"/>
      <x:c r="J82" s="4"/>
      <x:c r="K82" s="4"/>
      <x:c r="L82" s="3" t="str">
        <x:f>IF(AND(E82="완료",F82="완료",G82="완료",H82="완료"),"완료","확인필요")</x:f>
        <x:v>확인필요</x:v>
      </x:c>
      <x:c r="M82" s="4"/>
      <x:c r="N82" s="4"/>
    </x:row>
    <x:row r="83" spans="1:14">
      <x:c r="A83" s="3">
        <x:f>'1_참가선수입력'!A83</x:f>
        <x:v>80</x:v>
      </x:c>
      <x:c r="B83" s="3">
        <x:f>'1_참가선수입력'!E83</x:f>
        <x:v>0</x:v>
      </x:c>
      <x:c r="C83" s="3">
        <x:f>'1_참가선수입력'!C83</x:f>
        <x:v>0</x:v>
      </x:c>
      <x:c r="D83" s="3">
        <x:f>'1_참가선수입력'!D83</x:f>
        <x:v>0</x:v>
      </x:c>
      <x:c r="E83" s="4"/>
      <x:c r="F83" s="4"/>
      <x:c r="G83" s="4"/>
      <x:c r="H83" s="4"/>
      <x:c r="I83" s="4"/>
      <x:c r="J83" s="4"/>
      <x:c r="K83" s="4"/>
      <x:c r="L83" s="3" t="str">
        <x:f>IF(AND(E83="완료",F83="완료",G83="완료",H83="완료"),"완료","확인필요")</x:f>
        <x:v>확인필요</x:v>
      </x:c>
      <x:c r="M83" s="4"/>
      <x:c r="N83" s="4"/>
    </x:row>
    <x:row r="84" spans="1:14">
      <x:c r="A84" s="3">
        <x:f>'1_참가선수입력'!A84</x:f>
        <x:v>81</x:v>
      </x:c>
      <x:c r="B84" s="3">
        <x:f>'1_참가선수입력'!E84</x:f>
        <x:v>0</x:v>
      </x:c>
      <x:c r="C84" s="3">
        <x:f>'1_참가선수입력'!C84</x:f>
        <x:v>0</x:v>
      </x:c>
      <x:c r="D84" s="3">
        <x:f>'1_참가선수입력'!D84</x:f>
        <x:v>0</x:v>
      </x:c>
      <x:c r="E84" s="4"/>
      <x:c r="F84" s="4"/>
      <x:c r="G84" s="4"/>
      <x:c r="H84" s="4"/>
      <x:c r="I84" s="4"/>
      <x:c r="J84" s="4"/>
      <x:c r="K84" s="4"/>
      <x:c r="L84" s="3" t="str">
        <x:f>IF(AND(E84="완료",F84="완료",G84="완료",H84="완료"),"완료","확인필요")</x:f>
        <x:v>확인필요</x:v>
      </x:c>
      <x:c r="M84" s="4"/>
      <x:c r="N84" s="4"/>
    </x:row>
    <x:row r="85" spans="1:14">
      <x:c r="A85" s="3">
        <x:f>'1_참가선수입력'!A85</x:f>
        <x:v>82</x:v>
      </x:c>
      <x:c r="B85" s="3">
        <x:f>'1_참가선수입력'!E85</x:f>
        <x:v>0</x:v>
      </x:c>
      <x:c r="C85" s="3">
        <x:f>'1_참가선수입력'!C85</x:f>
        <x:v>0</x:v>
      </x:c>
      <x:c r="D85" s="3">
        <x:f>'1_참가선수입력'!D85</x:f>
        <x:v>0</x:v>
      </x:c>
      <x:c r="E85" s="4"/>
      <x:c r="F85" s="4"/>
      <x:c r="G85" s="4"/>
      <x:c r="H85" s="4"/>
      <x:c r="I85" s="4"/>
      <x:c r="J85" s="4"/>
      <x:c r="K85" s="4"/>
      <x:c r="L85" s="3" t="str">
        <x:f>IF(AND(E85="완료",F85="완료",G85="완료",H85="완료"),"완료","확인필요")</x:f>
        <x:v>확인필요</x:v>
      </x:c>
      <x:c r="M85" s="4"/>
      <x:c r="N85" s="4"/>
    </x:row>
    <x:row r="86" spans="1:14">
      <x:c r="A86" s="3">
        <x:f>'1_참가선수입력'!A86</x:f>
        <x:v>83</x:v>
      </x:c>
      <x:c r="B86" s="3">
        <x:f>'1_참가선수입력'!E86</x:f>
        <x:v>0</x:v>
      </x:c>
      <x:c r="C86" s="3">
        <x:f>'1_참가선수입력'!C86</x:f>
        <x:v>0</x:v>
      </x:c>
      <x:c r="D86" s="3">
        <x:f>'1_참가선수입력'!D86</x:f>
        <x:v>0</x:v>
      </x:c>
      <x:c r="E86" s="4"/>
      <x:c r="F86" s="4"/>
      <x:c r="G86" s="4"/>
      <x:c r="H86" s="4"/>
      <x:c r="I86" s="4"/>
      <x:c r="J86" s="4"/>
      <x:c r="K86" s="4"/>
      <x:c r="L86" s="3" t="str">
        <x:f>IF(AND(E86="완료",F86="완료",G86="완료",H86="완료"),"완료","확인필요")</x:f>
        <x:v>확인필요</x:v>
      </x:c>
      <x:c r="M86" s="4"/>
      <x:c r="N86" s="4"/>
    </x:row>
    <x:row r="87" spans="1:14">
      <x:c r="A87" s="3">
        <x:f>'1_참가선수입력'!A87</x:f>
        <x:v>84</x:v>
      </x:c>
      <x:c r="B87" s="3">
        <x:f>'1_참가선수입력'!E87</x:f>
        <x:v>0</x:v>
      </x:c>
      <x:c r="C87" s="3">
        <x:f>'1_참가선수입력'!C87</x:f>
        <x:v>0</x:v>
      </x:c>
      <x:c r="D87" s="3">
        <x:f>'1_참가선수입력'!D87</x:f>
        <x:v>0</x:v>
      </x:c>
      <x:c r="E87" s="4"/>
      <x:c r="F87" s="4"/>
      <x:c r="G87" s="4"/>
      <x:c r="H87" s="4"/>
      <x:c r="I87" s="4"/>
      <x:c r="J87" s="4"/>
      <x:c r="K87" s="4"/>
      <x:c r="L87" s="3" t="str">
        <x:f>IF(AND(E87="완료",F87="완료",G87="완료",H87="완료"),"완료","확인필요")</x:f>
        <x:v>확인필요</x:v>
      </x:c>
      <x:c r="M87" s="4"/>
      <x:c r="N87" s="4"/>
    </x:row>
    <x:row r="88" spans="1:14">
      <x:c r="A88" s="3">
        <x:f>'1_참가선수입력'!A88</x:f>
        <x:v>85</x:v>
      </x:c>
      <x:c r="B88" s="3">
        <x:f>'1_참가선수입력'!E88</x:f>
        <x:v>0</x:v>
      </x:c>
      <x:c r="C88" s="3">
        <x:f>'1_참가선수입력'!C88</x:f>
        <x:v>0</x:v>
      </x:c>
      <x:c r="D88" s="3">
        <x:f>'1_참가선수입력'!D88</x:f>
        <x:v>0</x:v>
      </x:c>
      <x:c r="E88" s="4"/>
      <x:c r="F88" s="4"/>
      <x:c r="G88" s="4"/>
      <x:c r="H88" s="4"/>
      <x:c r="I88" s="4"/>
      <x:c r="J88" s="4"/>
      <x:c r="K88" s="4"/>
      <x:c r="L88" s="3" t="str">
        <x:f>IF(AND(E88="완료",F88="완료",G88="완료",H88="완료"),"완료","확인필요")</x:f>
        <x:v>확인필요</x:v>
      </x:c>
      <x:c r="M88" s="4"/>
      <x:c r="N88" s="4"/>
    </x:row>
    <x:row r="89" spans="1:14">
      <x:c r="A89" s="3">
        <x:f>'1_참가선수입력'!A89</x:f>
        <x:v>86</x:v>
      </x:c>
      <x:c r="B89" s="3">
        <x:f>'1_참가선수입력'!E89</x:f>
        <x:v>0</x:v>
      </x:c>
      <x:c r="C89" s="3">
        <x:f>'1_참가선수입력'!C89</x:f>
        <x:v>0</x:v>
      </x:c>
      <x:c r="D89" s="3">
        <x:f>'1_참가선수입력'!D89</x:f>
        <x:v>0</x:v>
      </x:c>
      <x:c r="E89" s="4"/>
      <x:c r="F89" s="4"/>
      <x:c r="G89" s="4"/>
      <x:c r="H89" s="4"/>
      <x:c r="I89" s="4"/>
      <x:c r="J89" s="4"/>
      <x:c r="K89" s="4"/>
      <x:c r="L89" s="3" t="str">
        <x:f>IF(AND(E89="완료",F89="완료",G89="완료",H89="완료"),"완료","확인필요")</x:f>
        <x:v>확인필요</x:v>
      </x:c>
      <x:c r="M89" s="4"/>
      <x:c r="N89" s="4"/>
    </x:row>
    <x:row r="90" spans="1:14">
      <x:c r="A90" s="3">
        <x:f>'1_참가선수입력'!A90</x:f>
        <x:v>87</x:v>
      </x:c>
      <x:c r="B90" s="3">
        <x:f>'1_참가선수입력'!E90</x:f>
        <x:v>0</x:v>
      </x:c>
      <x:c r="C90" s="3">
        <x:f>'1_참가선수입력'!C90</x:f>
        <x:v>0</x:v>
      </x:c>
      <x:c r="D90" s="3">
        <x:f>'1_참가선수입력'!D90</x:f>
        <x:v>0</x:v>
      </x:c>
      <x:c r="E90" s="4"/>
      <x:c r="F90" s="4"/>
      <x:c r="G90" s="4"/>
      <x:c r="H90" s="4"/>
      <x:c r="I90" s="4"/>
      <x:c r="J90" s="4"/>
      <x:c r="K90" s="4"/>
      <x:c r="L90" s="3" t="str">
        <x:f>IF(AND(E90="완료",F90="완료",G90="완료",H90="완료"),"완료","확인필요")</x:f>
        <x:v>확인필요</x:v>
      </x:c>
      <x:c r="M90" s="4"/>
      <x:c r="N90" s="4"/>
    </x:row>
    <x:row r="91" spans="1:14">
      <x:c r="A91" s="3">
        <x:f>'1_참가선수입력'!A91</x:f>
        <x:v>88</x:v>
      </x:c>
      <x:c r="B91" s="3">
        <x:f>'1_참가선수입력'!E91</x:f>
        <x:v>0</x:v>
      </x:c>
      <x:c r="C91" s="3">
        <x:f>'1_참가선수입력'!C91</x:f>
        <x:v>0</x:v>
      </x:c>
      <x:c r="D91" s="3">
        <x:f>'1_참가선수입력'!D91</x:f>
        <x:v>0</x:v>
      </x:c>
      <x:c r="E91" s="4"/>
      <x:c r="F91" s="4"/>
      <x:c r="G91" s="4"/>
      <x:c r="H91" s="4"/>
      <x:c r="I91" s="4"/>
      <x:c r="J91" s="4"/>
      <x:c r="K91" s="4"/>
      <x:c r="L91" s="3" t="str">
        <x:f>IF(AND(E91="완료",F91="완료",G91="완료",H91="완료"),"완료","확인필요")</x:f>
        <x:v>확인필요</x:v>
      </x:c>
      <x:c r="M91" s="4"/>
      <x:c r="N91" s="4"/>
    </x:row>
    <x:row r="92" spans="1:14">
      <x:c r="A92" s="3">
        <x:f>'1_참가선수입력'!A92</x:f>
        <x:v>89</x:v>
      </x:c>
      <x:c r="B92" s="3">
        <x:f>'1_참가선수입력'!E92</x:f>
        <x:v>0</x:v>
      </x:c>
      <x:c r="C92" s="3">
        <x:f>'1_참가선수입력'!C92</x:f>
        <x:v>0</x:v>
      </x:c>
      <x:c r="D92" s="3">
        <x:f>'1_참가선수입력'!D92</x:f>
        <x:v>0</x:v>
      </x:c>
      <x:c r="E92" s="4"/>
      <x:c r="F92" s="4"/>
      <x:c r="G92" s="4"/>
      <x:c r="H92" s="4"/>
      <x:c r="I92" s="4"/>
      <x:c r="J92" s="4"/>
      <x:c r="K92" s="4"/>
      <x:c r="L92" s="3" t="str">
        <x:f>IF(AND(E92="완료",F92="완료",G92="완료",H92="완료"),"완료","확인필요")</x:f>
        <x:v>확인필요</x:v>
      </x:c>
      <x:c r="M92" s="4"/>
      <x:c r="N92" s="4"/>
    </x:row>
    <x:row r="93" spans="1:14">
      <x:c r="A93" s="3">
        <x:f>'1_참가선수입력'!A93</x:f>
        <x:v>90</x:v>
      </x:c>
      <x:c r="B93" s="3">
        <x:f>'1_참가선수입력'!E93</x:f>
        <x:v>0</x:v>
      </x:c>
      <x:c r="C93" s="3">
        <x:f>'1_참가선수입력'!C93</x:f>
        <x:v>0</x:v>
      </x:c>
      <x:c r="D93" s="3">
        <x:f>'1_참가선수입력'!D93</x:f>
        <x:v>0</x:v>
      </x:c>
      <x:c r="E93" s="4"/>
      <x:c r="F93" s="4"/>
      <x:c r="G93" s="4"/>
      <x:c r="H93" s="4"/>
      <x:c r="I93" s="4"/>
      <x:c r="J93" s="4"/>
      <x:c r="K93" s="4"/>
      <x:c r="L93" s="3" t="str">
        <x:f>IF(AND(E93="완료",F93="완료",G93="완료",H93="완료"),"완료","확인필요")</x:f>
        <x:v>확인필요</x:v>
      </x:c>
      <x:c r="M93" s="4"/>
      <x:c r="N93" s="4"/>
    </x:row>
    <x:row r="94" spans="1:14">
      <x:c r="A94" s="3">
        <x:f>'1_참가선수입력'!A94</x:f>
        <x:v>91</x:v>
      </x:c>
      <x:c r="B94" s="3">
        <x:f>'1_참가선수입력'!E94</x:f>
        <x:v>0</x:v>
      </x:c>
      <x:c r="C94" s="3">
        <x:f>'1_참가선수입력'!C94</x:f>
        <x:v>0</x:v>
      </x:c>
      <x:c r="D94" s="3">
        <x:f>'1_참가선수입력'!D94</x:f>
        <x:v>0</x:v>
      </x:c>
      <x:c r="E94" s="4"/>
      <x:c r="F94" s="4"/>
      <x:c r="G94" s="4"/>
      <x:c r="H94" s="4"/>
      <x:c r="I94" s="4"/>
      <x:c r="J94" s="4"/>
      <x:c r="K94" s="4"/>
      <x:c r="L94" s="3" t="str">
        <x:f>IF(AND(E94="완료",F94="완료",G94="완료",H94="완료"),"완료","확인필요")</x:f>
        <x:v>확인필요</x:v>
      </x:c>
      <x:c r="M94" s="4"/>
      <x:c r="N94" s="4"/>
    </x:row>
    <x:row r="95" spans="1:14">
      <x:c r="A95" s="3">
        <x:f>'1_참가선수입력'!A95</x:f>
        <x:v>92</x:v>
      </x:c>
      <x:c r="B95" s="3">
        <x:f>'1_참가선수입력'!E95</x:f>
        <x:v>0</x:v>
      </x:c>
      <x:c r="C95" s="3">
        <x:f>'1_참가선수입력'!C95</x:f>
        <x:v>0</x:v>
      </x:c>
      <x:c r="D95" s="3">
        <x:f>'1_참가선수입력'!D95</x:f>
        <x:v>0</x:v>
      </x:c>
      <x:c r="E95" s="4"/>
      <x:c r="F95" s="4"/>
      <x:c r="G95" s="4"/>
      <x:c r="H95" s="4"/>
      <x:c r="I95" s="4"/>
      <x:c r="J95" s="4"/>
      <x:c r="K95" s="4"/>
      <x:c r="L95" s="3" t="str">
        <x:f>IF(AND(E95="완료",F95="완료",G95="완료",H95="완료"),"완료","확인필요")</x:f>
        <x:v>확인필요</x:v>
      </x:c>
      <x:c r="M95" s="4"/>
      <x:c r="N95" s="4"/>
    </x:row>
    <x:row r="96" spans="1:14">
      <x:c r="A96" s="3">
        <x:f>'1_참가선수입력'!A96</x:f>
        <x:v>93</x:v>
      </x:c>
      <x:c r="B96" s="3">
        <x:f>'1_참가선수입력'!E96</x:f>
        <x:v>0</x:v>
      </x:c>
      <x:c r="C96" s="3">
        <x:f>'1_참가선수입력'!C96</x:f>
        <x:v>0</x:v>
      </x:c>
      <x:c r="D96" s="3">
        <x:f>'1_참가선수입력'!D96</x:f>
        <x:v>0</x:v>
      </x:c>
      <x:c r="E96" s="4"/>
      <x:c r="F96" s="4"/>
      <x:c r="G96" s="4"/>
      <x:c r="H96" s="4"/>
      <x:c r="I96" s="4"/>
      <x:c r="J96" s="4"/>
      <x:c r="K96" s="4"/>
      <x:c r="L96" s="3" t="str">
        <x:f>IF(AND(E96="완료",F96="완료",G96="완료",H96="완료"),"완료","확인필요")</x:f>
        <x:v>확인필요</x:v>
      </x:c>
      <x:c r="M96" s="4"/>
      <x:c r="N96" s="4"/>
    </x:row>
    <x:row r="97" spans="1:14">
      <x:c r="A97" s="3">
        <x:f>'1_참가선수입력'!A97</x:f>
        <x:v>94</x:v>
      </x:c>
      <x:c r="B97" s="3">
        <x:f>'1_참가선수입력'!E97</x:f>
        <x:v>0</x:v>
      </x:c>
      <x:c r="C97" s="3">
        <x:f>'1_참가선수입력'!C97</x:f>
        <x:v>0</x:v>
      </x:c>
      <x:c r="D97" s="3">
        <x:f>'1_참가선수입력'!D97</x:f>
        <x:v>0</x:v>
      </x:c>
      <x:c r="E97" s="4"/>
      <x:c r="F97" s="4"/>
      <x:c r="G97" s="4"/>
      <x:c r="H97" s="4"/>
      <x:c r="I97" s="4"/>
      <x:c r="J97" s="4"/>
      <x:c r="K97" s="4"/>
      <x:c r="L97" s="3" t="str">
        <x:f>IF(AND(E97="완료",F97="완료",G97="완료",H97="완료"),"완료","확인필요")</x:f>
        <x:v>확인필요</x:v>
      </x:c>
      <x:c r="M97" s="4"/>
      <x:c r="N97" s="4"/>
    </x:row>
    <x:row r="98" spans="1:14">
      <x:c r="A98" s="3">
        <x:f>'1_참가선수입력'!A98</x:f>
        <x:v>95</x:v>
      </x:c>
      <x:c r="B98" s="3">
        <x:f>'1_참가선수입력'!E98</x:f>
        <x:v>0</x:v>
      </x:c>
      <x:c r="C98" s="3">
        <x:f>'1_참가선수입력'!C98</x:f>
        <x:v>0</x:v>
      </x:c>
      <x:c r="D98" s="3">
        <x:f>'1_참가선수입력'!D98</x:f>
        <x:v>0</x:v>
      </x:c>
      <x:c r="E98" s="4"/>
      <x:c r="F98" s="4"/>
      <x:c r="G98" s="4"/>
      <x:c r="H98" s="4"/>
      <x:c r="I98" s="4"/>
      <x:c r="J98" s="4"/>
      <x:c r="K98" s="4"/>
      <x:c r="L98" s="3" t="str">
        <x:f>IF(AND(E98="완료",F98="완료",G98="완료",H98="완료"),"완료","확인필요")</x:f>
        <x:v>확인필요</x:v>
      </x:c>
      <x:c r="M98" s="4"/>
      <x:c r="N98" s="4"/>
    </x:row>
    <x:row r="99" spans="1:14">
      <x:c r="A99" s="3">
        <x:f>'1_참가선수입력'!A99</x:f>
        <x:v>96</x:v>
      </x:c>
      <x:c r="B99" s="3">
        <x:f>'1_참가선수입력'!E99</x:f>
        <x:v>0</x:v>
      </x:c>
      <x:c r="C99" s="3">
        <x:f>'1_참가선수입력'!C99</x:f>
        <x:v>0</x:v>
      </x:c>
      <x:c r="D99" s="3">
        <x:f>'1_참가선수입력'!D99</x:f>
        <x:v>0</x:v>
      </x:c>
      <x:c r="E99" s="4"/>
      <x:c r="F99" s="4"/>
      <x:c r="G99" s="4"/>
      <x:c r="H99" s="4"/>
      <x:c r="I99" s="4"/>
      <x:c r="J99" s="4"/>
      <x:c r="K99" s="4"/>
      <x:c r="L99" s="3" t="str">
        <x:f>IF(AND(E99="완료",F99="완료",G99="완료",H99="완료"),"완료","확인필요")</x:f>
        <x:v>확인필요</x:v>
      </x:c>
      <x:c r="M99" s="4"/>
      <x:c r="N99" s="4"/>
    </x:row>
    <x:row r="100" spans="1:14">
      <x:c r="A100" s="3">
        <x:f>'1_참가선수입력'!A100</x:f>
        <x:v>97</x:v>
      </x:c>
      <x:c r="B100" s="3">
        <x:f>'1_참가선수입력'!E100</x:f>
        <x:v>0</x:v>
      </x:c>
      <x:c r="C100" s="3">
        <x:f>'1_참가선수입력'!C100</x:f>
        <x:v>0</x:v>
      </x:c>
      <x:c r="D100" s="3">
        <x:f>'1_참가선수입력'!D100</x:f>
        <x:v>0</x:v>
      </x:c>
      <x:c r="E100" s="4"/>
      <x:c r="F100" s="4"/>
      <x:c r="G100" s="4"/>
      <x:c r="H100" s="4"/>
      <x:c r="I100" s="4"/>
      <x:c r="J100" s="4"/>
      <x:c r="K100" s="4"/>
      <x:c r="L100" s="3" t="str">
        <x:f>IF(AND(E100="완료",F100="완료",G100="완료",H100="완료"),"완료","확인필요")</x:f>
        <x:v>확인필요</x:v>
      </x:c>
      <x:c r="M100" s="4"/>
      <x:c r="N100" s="4"/>
    </x:row>
    <x:row r="101" spans="1:14">
      <x:c r="A101" s="3">
        <x:f>'1_참가선수입력'!A101</x:f>
        <x:v>98</x:v>
      </x:c>
      <x:c r="B101" s="3">
        <x:f>'1_참가선수입력'!E101</x:f>
        <x:v>0</x:v>
      </x:c>
      <x:c r="C101" s="3">
        <x:f>'1_참가선수입력'!C101</x:f>
        <x:v>0</x:v>
      </x:c>
      <x:c r="D101" s="3">
        <x:f>'1_참가선수입력'!D101</x:f>
        <x:v>0</x:v>
      </x:c>
      <x:c r="E101" s="4"/>
      <x:c r="F101" s="4"/>
      <x:c r="G101" s="4"/>
      <x:c r="H101" s="4"/>
      <x:c r="I101" s="4"/>
      <x:c r="J101" s="4"/>
      <x:c r="K101" s="4"/>
      <x:c r="L101" s="3" t="str">
        <x:f>IF(AND(E101="완료",F101="완료",G101="완료",H101="완료"),"완료","확인필요")</x:f>
        <x:v>확인필요</x:v>
      </x:c>
      <x:c r="M101" s="4"/>
      <x:c r="N101" s="4"/>
    </x:row>
    <x:row r="102" spans="1:14">
      <x:c r="A102" s="3">
        <x:f>'1_참가선수입력'!A102</x:f>
        <x:v>99</x:v>
      </x:c>
      <x:c r="B102" s="3">
        <x:f>'1_참가선수입력'!E102</x:f>
        <x:v>0</x:v>
      </x:c>
      <x:c r="C102" s="3">
        <x:f>'1_참가선수입력'!C102</x:f>
        <x:v>0</x:v>
      </x:c>
      <x:c r="D102" s="3">
        <x:f>'1_참가선수입력'!D102</x:f>
        <x:v>0</x:v>
      </x:c>
      <x:c r="E102" s="4"/>
      <x:c r="F102" s="4"/>
      <x:c r="G102" s="4"/>
      <x:c r="H102" s="4"/>
      <x:c r="I102" s="4"/>
      <x:c r="J102" s="4"/>
      <x:c r="K102" s="4"/>
      <x:c r="L102" s="3" t="str">
        <x:f>IF(AND(E102="완료",F102="완료",G102="완료",H102="완료"),"완료","확인필요")</x:f>
        <x:v>확인필요</x:v>
      </x:c>
      <x:c r="M102" s="4"/>
      <x:c r="N102" s="4"/>
    </x:row>
    <x:row r="103" spans="1:14">
      <x:c r="A103" s="3">
        <x:f>'1_참가선수입력'!A103</x:f>
        <x:v>100</x:v>
      </x:c>
      <x:c r="B103" s="3">
        <x:f>'1_참가선수입력'!E103</x:f>
        <x:v>0</x:v>
      </x:c>
      <x:c r="C103" s="3">
        <x:f>'1_참가선수입력'!C103</x:f>
        <x:v>0</x:v>
      </x:c>
      <x:c r="D103" s="3">
        <x:f>'1_참가선수입력'!D103</x:f>
        <x:v>0</x:v>
      </x:c>
      <x:c r="E103" s="4"/>
      <x:c r="F103" s="4"/>
      <x:c r="G103" s="4"/>
      <x:c r="H103" s="4"/>
      <x:c r="I103" s="4"/>
      <x:c r="J103" s="4"/>
      <x:c r="K103" s="4"/>
      <x:c r="L103" s="3" t="str">
        <x:f>IF(AND(E103="완료",F103="완료",G103="완료",H103="완료"),"완료","확인필요")</x:f>
        <x:v>확인필요</x:v>
      </x:c>
      <x:c r="M103" s="4"/>
      <x:c r="N103" s="4"/>
    </x:row>
    <x:row r="104" spans="1:14">
      <x:c r="A104" s="3">
        <x:f>'1_참가선수입력'!A104</x:f>
        <x:v>101</x:v>
      </x:c>
      <x:c r="B104" s="3">
        <x:f>'1_참가선수입력'!E104</x:f>
        <x:v>0</x:v>
      </x:c>
      <x:c r="C104" s="3">
        <x:f>'1_참가선수입력'!C104</x:f>
        <x:v>0</x:v>
      </x:c>
      <x:c r="D104" s="3">
        <x:f>'1_참가선수입력'!D104</x:f>
        <x:v>0</x:v>
      </x:c>
      <x:c r="E104" s="4"/>
      <x:c r="F104" s="4"/>
      <x:c r="G104" s="4"/>
      <x:c r="H104" s="4"/>
      <x:c r="I104" s="4"/>
      <x:c r="J104" s="4"/>
      <x:c r="K104" s="4"/>
      <x:c r="L104" s="3" t="str">
        <x:f>IF(AND(E104="완료",F104="완료",G104="완료",H104="완료"),"완료","확인필요")</x:f>
        <x:v>확인필요</x:v>
      </x:c>
      <x:c r="M104" s="4"/>
      <x:c r="N104" s="4"/>
    </x:row>
    <x:row r="105" spans="1:14">
      <x:c r="A105" s="3">
        <x:f>'1_참가선수입력'!A105</x:f>
        <x:v>102</x:v>
      </x:c>
      <x:c r="B105" s="3">
        <x:f>'1_참가선수입력'!E105</x:f>
        <x:v>0</x:v>
      </x:c>
      <x:c r="C105" s="3">
        <x:f>'1_참가선수입력'!C105</x:f>
        <x:v>0</x:v>
      </x:c>
      <x:c r="D105" s="3">
        <x:f>'1_참가선수입력'!D105</x:f>
        <x:v>0</x:v>
      </x:c>
      <x:c r="E105" s="4"/>
      <x:c r="F105" s="4"/>
      <x:c r="G105" s="4"/>
      <x:c r="H105" s="4"/>
      <x:c r="I105" s="4"/>
      <x:c r="J105" s="4"/>
      <x:c r="K105" s="4"/>
      <x:c r="L105" s="3" t="str">
        <x:f>IF(AND(E105="완료",F105="완료",G105="완료",H105="완료"),"완료","확인필요")</x:f>
        <x:v>확인필요</x:v>
      </x:c>
      <x:c r="M105" s="4"/>
      <x:c r="N105" s="4"/>
    </x:row>
    <x:row r="106" spans="1:14">
      <x:c r="A106" s="3">
        <x:f>'1_참가선수입력'!A106</x:f>
        <x:v>103</x:v>
      </x:c>
      <x:c r="B106" s="3">
        <x:f>'1_참가선수입력'!E106</x:f>
        <x:v>0</x:v>
      </x:c>
      <x:c r="C106" s="3">
        <x:f>'1_참가선수입력'!C106</x:f>
        <x:v>0</x:v>
      </x:c>
      <x:c r="D106" s="3">
        <x:f>'1_참가선수입력'!D106</x:f>
        <x:v>0</x:v>
      </x:c>
      <x:c r="E106" s="4"/>
      <x:c r="F106" s="4"/>
      <x:c r="G106" s="4"/>
      <x:c r="H106" s="4"/>
      <x:c r="I106" s="4"/>
      <x:c r="J106" s="4"/>
      <x:c r="K106" s="4"/>
      <x:c r="L106" s="3" t="str">
        <x:f>IF(AND(E106="완료",F106="완료",G106="완료",H106="완료"),"완료","확인필요")</x:f>
        <x:v>확인필요</x:v>
      </x:c>
      <x:c r="M106" s="4"/>
      <x:c r="N106" s="4"/>
    </x:row>
    <x:row r="107" spans="1:14">
      <x:c r="A107" s="3">
        <x:f>'1_참가선수입력'!A107</x:f>
        <x:v>104</x:v>
      </x:c>
      <x:c r="B107" s="3">
        <x:f>'1_참가선수입력'!E107</x:f>
        <x:v>0</x:v>
      </x:c>
      <x:c r="C107" s="3">
        <x:f>'1_참가선수입력'!C107</x:f>
        <x:v>0</x:v>
      </x:c>
      <x:c r="D107" s="3">
        <x:f>'1_참가선수입력'!D107</x:f>
        <x:v>0</x:v>
      </x:c>
      <x:c r="E107" s="4"/>
      <x:c r="F107" s="4"/>
      <x:c r="G107" s="4"/>
      <x:c r="H107" s="4"/>
      <x:c r="I107" s="4"/>
      <x:c r="J107" s="4"/>
      <x:c r="K107" s="4"/>
      <x:c r="L107" s="3" t="str">
        <x:f>IF(AND(E107="완료",F107="완료",G107="완료",H107="완료"),"완료","확인필요")</x:f>
        <x:v>확인필요</x:v>
      </x:c>
      <x:c r="M107" s="4"/>
      <x:c r="N107" s="4"/>
    </x:row>
    <x:row r="108" spans="1:14">
      <x:c r="A108" s="3">
        <x:f>'1_참가선수입력'!A108</x:f>
        <x:v>105</x:v>
      </x:c>
      <x:c r="B108" s="3">
        <x:f>'1_참가선수입력'!E108</x:f>
        <x:v>0</x:v>
      </x:c>
      <x:c r="C108" s="3">
        <x:f>'1_참가선수입력'!C108</x:f>
        <x:v>0</x:v>
      </x:c>
      <x:c r="D108" s="3">
        <x:f>'1_참가선수입력'!D108</x:f>
        <x:v>0</x:v>
      </x:c>
      <x:c r="E108" s="4"/>
      <x:c r="F108" s="4"/>
      <x:c r="G108" s="4"/>
      <x:c r="H108" s="4"/>
      <x:c r="I108" s="4"/>
      <x:c r="J108" s="4"/>
      <x:c r="K108" s="4"/>
      <x:c r="L108" s="3" t="str">
        <x:f>IF(AND(E108="완료",F108="완료",G108="완료",H108="완료"),"완료","확인필요")</x:f>
        <x:v>확인필요</x:v>
      </x:c>
      <x:c r="M108" s="4"/>
      <x:c r="N108" s="4"/>
    </x:row>
    <x:row r="109" spans="1:14">
      <x:c r="A109" s="3">
        <x:f>'1_참가선수입력'!A109</x:f>
        <x:v>106</x:v>
      </x:c>
      <x:c r="B109" s="3">
        <x:f>'1_참가선수입력'!E109</x:f>
        <x:v>0</x:v>
      </x:c>
      <x:c r="C109" s="3">
        <x:f>'1_참가선수입력'!C109</x:f>
        <x:v>0</x:v>
      </x:c>
      <x:c r="D109" s="3">
        <x:f>'1_참가선수입력'!D109</x:f>
        <x:v>0</x:v>
      </x:c>
      <x:c r="E109" s="4"/>
      <x:c r="F109" s="4"/>
      <x:c r="G109" s="4"/>
      <x:c r="H109" s="4"/>
      <x:c r="I109" s="4"/>
      <x:c r="J109" s="4"/>
      <x:c r="K109" s="4"/>
      <x:c r="L109" s="3" t="str">
        <x:f>IF(AND(E109="완료",F109="완료",G109="완료",H109="완료"),"완료","확인필요")</x:f>
        <x:v>확인필요</x:v>
      </x:c>
      <x:c r="M109" s="4"/>
      <x:c r="N109" s="4"/>
    </x:row>
    <x:row r="110" spans="1:14">
      <x:c r="A110" s="3">
        <x:f>'1_참가선수입력'!A110</x:f>
        <x:v>107</x:v>
      </x:c>
      <x:c r="B110" s="3">
        <x:f>'1_참가선수입력'!E110</x:f>
        <x:v>0</x:v>
      </x:c>
      <x:c r="C110" s="3">
        <x:f>'1_참가선수입력'!C110</x:f>
        <x:v>0</x:v>
      </x:c>
      <x:c r="D110" s="3">
        <x:f>'1_참가선수입력'!D110</x:f>
        <x:v>0</x:v>
      </x:c>
      <x:c r="E110" s="4"/>
      <x:c r="F110" s="4"/>
      <x:c r="G110" s="4"/>
      <x:c r="H110" s="4"/>
      <x:c r="I110" s="4"/>
      <x:c r="J110" s="4"/>
      <x:c r="K110" s="4"/>
      <x:c r="L110" s="3" t="str">
        <x:f>IF(AND(E110="완료",F110="완료",G110="완료",H110="완료"),"완료","확인필요")</x:f>
        <x:v>확인필요</x:v>
      </x:c>
      <x:c r="M110" s="4"/>
      <x:c r="N110" s="4"/>
    </x:row>
    <x:row r="111" spans="1:14">
      <x:c r="A111" s="3">
        <x:f>'1_참가선수입력'!A111</x:f>
        <x:v>108</x:v>
      </x:c>
      <x:c r="B111" s="3">
        <x:f>'1_참가선수입력'!E111</x:f>
        <x:v>0</x:v>
      </x:c>
      <x:c r="C111" s="3">
        <x:f>'1_참가선수입력'!C111</x:f>
        <x:v>0</x:v>
      </x:c>
      <x:c r="D111" s="3">
        <x:f>'1_참가선수입력'!D111</x:f>
        <x:v>0</x:v>
      </x:c>
      <x:c r="E111" s="4"/>
      <x:c r="F111" s="4"/>
      <x:c r="G111" s="4"/>
      <x:c r="H111" s="4"/>
      <x:c r="I111" s="4"/>
      <x:c r="J111" s="4"/>
      <x:c r="K111" s="4"/>
      <x:c r="L111" s="3" t="str">
        <x:f>IF(AND(E111="완료",F111="완료",G111="완료",H111="완료"),"완료","확인필요")</x:f>
        <x:v>확인필요</x:v>
      </x:c>
      <x:c r="M111" s="4"/>
      <x:c r="N111" s="4"/>
    </x:row>
    <x:row r="112" spans="1:14">
      <x:c r="A112" s="3">
        <x:f>'1_참가선수입력'!A112</x:f>
        <x:v>109</x:v>
      </x:c>
      <x:c r="B112" s="3">
        <x:f>'1_참가선수입력'!E112</x:f>
        <x:v>0</x:v>
      </x:c>
      <x:c r="C112" s="3">
        <x:f>'1_참가선수입력'!C112</x:f>
        <x:v>0</x:v>
      </x:c>
      <x:c r="D112" s="3">
        <x:f>'1_참가선수입력'!D112</x:f>
        <x:v>0</x:v>
      </x:c>
      <x:c r="E112" s="4"/>
      <x:c r="F112" s="4"/>
      <x:c r="G112" s="4"/>
      <x:c r="H112" s="4"/>
      <x:c r="I112" s="4"/>
      <x:c r="J112" s="4"/>
      <x:c r="K112" s="4"/>
      <x:c r="L112" s="3" t="str">
        <x:f>IF(AND(E112="완료",F112="완료",G112="완료",H112="완료"),"완료","확인필요")</x:f>
        <x:v>확인필요</x:v>
      </x:c>
      <x:c r="M112" s="4"/>
      <x:c r="N112" s="4"/>
    </x:row>
    <x:row r="113" spans="1:14">
      <x:c r="A113" s="3">
        <x:f>'1_참가선수입력'!A113</x:f>
        <x:v>110</x:v>
      </x:c>
      <x:c r="B113" s="3">
        <x:f>'1_참가선수입력'!E113</x:f>
        <x:v>0</x:v>
      </x:c>
      <x:c r="C113" s="3">
        <x:f>'1_참가선수입력'!C113</x:f>
        <x:v>0</x:v>
      </x:c>
      <x:c r="D113" s="3">
        <x:f>'1_참가선수입력'!D113</x:f>
        <x:v>0</x:v>
      </x:c>
      <x:c r="E113" s="4"/>
      <x:c r="F113" s="4"/>
      <x:c r="G113" s="4"/>
      <x:c r="H113" s="4"/>
      <x:c r="I113" s="4"/>
      <x:c r="J113" s="4"/>
      <x:c r="K113" s="4"/>
      <x:c r="L113" s="3" t="str">
        <x:f>IF(AND(E113="완료",F113="완료",G113="완료",H113="완료"),"완료","확인필요")</x:f>
        <x:v>확인필요</x:v>
      </x:c>
      <x:c r="M113" s="4"/>
      <x:c r="N113" s="4"/>
    </x:row>
    <x:row r="114" spans="1:14">
      <x:c r="A114" s="3">
        <x:f>'1_참가선수입력'!A114</x:f>
        <x:v>111</x:v>
      </x:c>
      <x:c r="B114" s="3">
        <x:f>'1_참가선수입력'!E114</x:f>
        <x:v>0</x:v>
      </x:c>
      <x:c r="C114" s="3">
        <x:f>'1_참가선수입력'!C114</x:f>
        <x:v>0</x:v>
      </x:c>
      <x:c r="D114" s="3">
        <x:f>'1_참가선수입력'!D114</x:f>
        <x:v>0</x:v>
      </x:c>
      <x:c r="E114" s="4"/>
      <x:c r="F114" s="4"/>
      <x:c r="G114" s="4"/>
      <x:c r="H114" s="4"/>
      <x:c r="I114" s="4"/>
      <x:c r="J114" s="4"/>
      <x:c r="K114" s="4"/>
      <x:c r="L114" s="3" t="str">
        <x:f>IF(AND(E114="완료",F114="완료",G114="완료",H114="완료"),"완료","확인필요")</x:f>
        <x:v>확인필요</x:v>
      </x:c>
      <x:c r="M114" s="4"/>
      <x:c r="N114" s="4"/>
    </x:row>
    <x:row r="115" spans="1:14">
      <x:c r="A115" s="3">
        <x:f>'1_참가선수입력'!A115</x:f>
        <x:v>112</x:v>
      </x:c>
      <x:c r="B115" s="3">
        <x:f>'1_참가선수입력'!E115</x:f>
        <x:v>0</x:v>
      </x:c>
      <x:c r="C115" s="3">
        <x:f>'1_참가선수입력'!C115</x:f>
        <x:v>0</x:v>
      </x:c>
      <x:c r="D115" s="3">
        <x:f>'1_참가선수입력'!D115</x:f>
        <x:v>0</x:v>
      </x:c>
      <x:c r="E115" s="4"/>
      <x:c r="F115" s="4"/>
      <x:c r="G115" s="4"/>
      <x:c r="H115" s="4"/>
      <x:c r="I115" s="4"/>
      <x:c r="J115" s="4"/>
      <x:c r="K115" s="4"/>
      <x:c r="L115" s="3" t="str">
        <x:f>IF(AND(E115="완료",F115="완료",G115="완료",H115="완료"),"완료","확인필요")</x:f>
        <x:v>확인필요</x:v>
      </x:c>
      <x:c r="M115" s="4"/>
      <x:c r="N115" s="4"/>
    </x:row>
    <x:row r="116" spans="1:14">
      <x:c r="A116" s="3">
        <x:f>'1_참가선수입력'!A116</x:f>
        <x:v>113</x:v>
      </x:c>
      <x:c r="B116" s="3">
        <x:f>'1_참가선수입력'!E116</x:f>
        <x:v>0</x:v>
      </x:c>
      <x:c r="C116" s="3">
        <x:f>'1_참가선수입력'!C116</x:f>
        <x:v>0</x:v>
      </x:c>
      <x:c r="D116" s="3">
        <x:f>'1_참가선수입력'!D116</x:f>
        <x:v>0</x:v>
      </x:c>
      <x:c r="E116" s="4"/>
      <x:c r="F116" s="4"/>
      <x:c r="G116" s="4"/>
      <x:c r="H116" s="4"/>
      <x:c r="I116" s="4"/>
      <x:c r="J116" s="4"/>
      <x:c r="K116" s="4"/>
      <x:c r="L116" s="3" t="str">
        <x:f>IF(AND(E116="완료",F116="완료",G116="완료",H116="완료"),"완료","확인필요")</x:f>
        <x:v>확인필요</x:v>
      </x:c>
      <x:c r="M116" s="4"/>
      <x:c r="N116" s="4"/>
    </x:row>
    <x:row r="117" spans="1:14">
      <x:c r="A117" s="3">
        <x:f>'1_참가선수입력'!A117</x:f>
        <x:v>114</x:v>
      </x:c>
      <x:c r="B117" s="3">
        <x:f>'1_참가선수입력'!E117</x:f>
        <x:v>0</x:v>
      </x:c>
      <x:c r="C117" s="3">
        <x:f>'1_참가선수입력'!C117</x:f>
        <x:v>0</x:v>
      </x:c>
      <x:c r="D117" s="3">
        <x:f>'1_참가선수입력'!D117</x:f>
        <x:v>0</x:v>
      </x:c>
      <x:c r="E117" s="4"/>
      <x:c r="F117" s="4"/>
      <x:c r="G117" s="4"/>
      <x:c r="H117" s="4"/>
      <x:c r="I117" s="4"/>
      <x:c r="J117" s="4"/>
      <x:c r="K117" s="4"/>
      <x:c r="L117" s="3" t="str">
        <x:f>IF(AND(E117="완료",F117="완료",G117="완료",H117="완료"),"완료","확인필요")</x:f>
        <x:v>확인필요</x:v>
      </x:c>
      <x:c r="M117" s="4"/>
      <x:c r="N117" s="4"/>
    </x:row>
    <x:row r="118" spans="1:14">
      <x:c r="A118" s="3">
        <x:f>'1_참가선수입력'!A118</x:f>
        <x:v>115</x:v>
      </x:c>
      <x:c r="B118" s="3">
        <x:f>'1_참가선수입력'!E118</x:f>
        <x:v>0</x:v>
      </x:c>
      <x:c r="C118" s="3">
        <x:f>'1_참가선수입력'!C118</x:f>
        <x:v>0</x:v>
      </x:c>
      <x:c r="D118" s="3">
        <x:f>'1_참가선수입력'!D118</x:f>
        <x:v>0</x:v>
      </x:c>
      <x:c r="E118" s="4"/>
      <x:c r="F118" s="4"/>
      <x:c r="G118" s="4"/>
      <x:c r="H118" s="4"/>
      <x:c r="I118" s="4"/>
      <x:c r="J118" s="4"/>
      <x:c r="K118" s="4"/>
      <x:c r="L118" s="3" t="str">
        <x:f>IF(AND(E118="완료",F118="완료",G118="완료",H118="완료"),"완료","확인필요")</x:f>
        <x:v>확인필요</x:v>
      </x:c>
      <x:c r="M118" s="4"/>
      <x:c r="N118" s="4"/>
    </x:row>
    <x:row r="119" spans="1:14">
      <x:c r="A119" s="3">
        <x:f>'1_참가선수입력'!A119</x:f>
        <x:v>116</x:v>
      </x:c>
      <x:c r="B119" s="3">
        <x:f>'1_참가선수입력'!E119</x:f>
        <x:v>0</x:v>
      </x:c>
      <x:c r="C119" s="3">
        <x:f>'1_참가선수입력'!C119</x:f>
        <x:v>0</x:v>
      </x:c>
      <x:c r="D119" s="3">
        <x:f>'1_참가선수입력'!D119</x:f>
        <x:v>0</x:v>
      </x:c>
      <x:c r="E119" s="4"/>
      <x:c r="F119" s="4"/>
      <x:c r="G119" s="4"/>
      <x:c r="H119" s="4"/>
      <x:c r="I119" s="4"/>
      <x:c r="J119" s="4"/>
      <x:c r="K119" s="4"/>
      <x:c r="L119" s="3" t="str">
        <x:f>IF(AND(E119="완료",F119="완료",G119="완료",H119="완료"),"완료","확인필요")</x:f>
        <x:v>확인필요</x:v>
      </x:c>
      <x:c r="M119" s="4"/>
      <x:c r="N119" s="4"/>
    </x:row>
    <x:row r="120" spans="1:14">
      <x:c r="A120" s="3">
        <x:f>'1_참가선수입력'!A120</x:f>
        <x:v>117</x:v>
      </x:c>
      <x:c r="B120" s="3">
        <x:f>'1_참가선수입력'!E120</x:f>
        <x:v>0</x:v>
      </x:c>
      <x:c r="C120" s="3">
        <x:f>'1_참가선수입력'!C120</x:f>
        <x:v>0</x:v>
      </x:c>
      <x:c r="D120" s="3">
        <x:f>'1_참가선수입력'!D120</x:f>
        <x:v>0</x:v>
      </x:c>
      <x:c r="E120" s="4"/>
      <x:c r="F120" s="4"/>
      <x:c r="G120" s="4"/>
      <x:c r="H120" s="4"/>
      <x:c r="I120" s="4"/>
      <x:c r="J120" s="4"/>
      <x:c r="K120" s="4"/>
      <x:c r="L120" s="3" t="str">
        <x:f>IF(AND(E120="완료",F120="완료",G120="완료",H120="완료"),"완료","확인필요")</x:f>
        <x:v>확인필요</x:v>
      </x:c>
      <x:c r="M120" s="4"/>
      <x:c r="N120" s="4"/>
    </x:row>
    <x:row r="121" spans="1:14">
      <x:c r="A121" s="3">
        <x:f>'1_참가선수입력'!A121</x:f>
        <x:v>118</x:v>
      </x:c>
      <x:c r="B121" s="3">
        <x:f>'1_참가선수입력'!E121</x:f>
        <x:v>0</x:v>
      </x:c>
      <x:c r="C121" s="3">
        <x:f>'1_참가선수입력'!C121</x:f>
        <x:v>0</x:v>
      </x:c>
      <x:c r="D121" s="3">
        <x:f>'1_참가선수입력'!D121</x:f>
        <x:v>0</x:v>
      </x:c>
      <x:c r="E121" s="4"/>
      <x:c r="F121" s="4"/>
      <x:c r="G121" s="4"/>
      <x:c r="H121" s="4"/>
      <x:c r="I121" s="4"/>
      <x:c r="J121" s="4"/>
      <x:c r="K121" s="4"/>
      <x:c r="L121" s="3" t="str">
        <x:f>IF(AND(E121="완료",F121="완료",G121="완료",H121="완료"),"완료","확인필요")</x:f>
        <x:v>확인필요</x:v>
      </x:c>
      <x:c r="M121" s="4"/>
      <x:c r="N121" s="4"/>
    </x:row>
    <x:row r="122" spans="1:14">
      <x:c r="A122" s="3">
        <x:f>'1_참가선수입력'!A122</x:f>
        <x:v>119</x:v>
      </x:c>
      <x:c r="B122" s="3">
        <x:f>'1_참가선수입력'!E122</x:f>
        <x:v>0</x:v>
      </x:c>
      <x:c r="C122" s="3">
        <x:f>'1_참가선수입력'!C122</x:f>
        <x:v>0</x:v>
      </x:c>
      <x:c r="D122" s="3">
        <x:f>'1_참가선수입력'!D122</x:f>
        <x:v>0</x:v>
      </x:c>
      <x:c r="E122" s="4"/>
      <x:c r="F122" s="4"/>
      <x:c r="G122" s="4"/>
      <x:c r="H122" s="4"/>
      <x:c r="I122" s="4"/>
      <x:c r="J122" s="4"/>
      <x:c r="K122" s="4"/>
      <x:c r="L122" s="3" t="str">
        <x:f>IF(AND(E122="완료",F122="완료",G122="완료",H122="완료"),"완료","확인필요")</x:f>
        <x:v>확인필요</x:v>
      </x:c>
      <x:c r="M122" s="4"/>
      <x:c r="N122" s="4"/>
    </x:row>
    <x:row r="123" spans="1:14">
      <x:c r="A123" s="3">
        <x:f>'1_참가선수입력'!A123</x:f>
        <x:v>120</x:v>
      </x:c>
      <x:c r="B123" s="3">
        <x:f>'1_참가선수입력'!E123</x:f>
        <x:v>0</x:v>
      </x:c>
      <x:c r="C123" s="3">
        <x:f>'1_참가선수입력'!C123</x:f>
        <x:v>0</x:v>
      </x:c>
      <x:c r="D123" s="3">
        <x:f>'1_참가선수입력'!D123</x:f>
        <x:v>0</x:v>
      </x:c>
      <x:c r="E123" s="4"/>
      <x:c r="F123" s="4"/>
      <x:c r="G123" s="4"/>
      <x:c r="H123" s="4"/>
      <x:c r="I123" s="4"/>
      <x:c r="J123" s="4"/>
      <x:c r="K123" s="4"/>
      <x:c r="L123" s="3" t="str">
        <x:f>IF(AND(E123="완료",F123="완료",G123="완료",H123="완료"),"완료","확인필요")</x:f>
        <x:v>확인필요</x:v>
      </x:c>
      <x:c r="M123" s="4"/>
      <x:c r="N123" s="4"/>
    </x:row>
    <x:row r="124" spans="1:14">
      <x:c r="A124" s="3">
        <x:f>'1_참가선수입력'!A124</x:f>
        <x:v>121</x:v>
      </x:c>
      <x:c r="B124" s="3">
        <x:f>'1_참가선수입력'!E124</x:f>
        <x:v>0</x:v>
      </x:c>
      <x:c r="C124" s="3">
        <x:f>'1_참가선수입력'!C124</x:f>
        <x:v>0</x:v>
      </x:c>
      <x:c r="D124" s="3">
        <x:f>'1_참가선수입력'!D124</x:f>
        <x:v>0</x:v>
      </x:c>
      <x:c r="E124" s="4"/>
      <x:c r="F124" s="4"/>
      <x:c r="G124" s="4"/>
      <x:c r="H124" s="4"/>
      <x:c r="I124" s="4"/>
      <x:c r="J124" s="4"/>
      <x:c r="K124" s="4"/>
      <x:c r="L124" s="3" t="str">
        <x:f>IF(AND(E124="완료",F124="완료",G124="완료",H124="완료"),"완료","확인필요")</x:f>
        <x:v>확인필요</x:v>
      </x:c>
      <x:c r="M124" s="4"/>
      <x:c r="N124" s="4"/>
    </x:row>
    <x:row r="125" spans="1:14">
      <x:c r="A125" s="3">
        <x:f>'1_참가선수입력'!A125</x:f>
        <x:v>122</x:v>
      </x:c>
      <x:c r="B125" s="3">
        <x:f>'1_참가선수입력'!E125</x:f>
        <x:v>0</x:v>
      </x:c>
      <x:c r="C125" s="3">
        <x:f>'1_참가선수입력'!C125</x:f>
        <x:v>0</x:v>
      </x:c>
      <x:c r="D125" s="3">
        <x:f>'1_참가선수입력'!D125</x:f>
        <x:v>0</x:v>
      </x:c>
      <x:c r="E125" s="4"/>
      <x:c r="F125" s="4"/>
      <x:c r="G125" s="4"/>
      <x:c r="H125" s="4"/>
      <x:c r="I125" s="4"/>
      <x:c r="J125" s="4"/>
      <x:c r="K125" s="4"/>
      <x:c r="L125" s="3" t="str">
        <x:f>IF(AND(E125="완료",F125="완료",G125="완료",H125="완료"),"완료","확인필요")</x:f>
        <x:v>확인필요</x:v>
      </x:c>
      <x:c r="M125" s="4"/>
      <x:c r="N125" s="4"/>
    </x:row>
    <x:row r="126" spans="1:14">
      <x:c r="A126" s="3">
        <x:f>'1_참가선수입력'!A126</x:f>
        <x:v>123</x:v>
      </x:c>
      <x:c r="B126" s="3">
        <x:f>'1_참가선수입력'!E126</x:f>
        <x:v>0</x:v>
      </x:c>
      <x:c r="C126" s="3">
        <x:f>'1_참가선수입력'!C126</x:f>
        <x:v>0</x:v>
      </x:c>
      <x:c r="D126" s="3">
        <x:f>'1_참가선수입력'!D126</x:f>
        <x:v>0</x:v>
      </x:c>
      <x:c r="E126" s="4"/>
      <x:c r="F126" s="4"/>
      <x:c r="G126" s="4"/>
      <x:c r="H126" s="4"/>
      <x:c r="I126" s="4"/>
      <x:c r="J126" s="4"/>
      <x:c r="K126" s="4"/>
      <x:c r="L126" s="3" t="str">
        <x:f>IF(AND(E126="완료",F126="완료",G126="완료",H126="완료"),"완료","확인필요")</x:f>
        <x:v>확인필요</x:v>
      </x:c>
      <x:c r="M126" s="4"/>
      <x:c r="N126" s="4"/>
    </x:row>
    <x:row r="127" spans="1:14">
      <x:c r="A127" s="3">
        <x:f>'1_참가선수입력'!A127</x:f>
        <x:v>124</x:v>
      </x:c>
      <x:c r="B127" s="3">
        <x:f>'1_참가선수입력'!E127</x:f>
        <x:v>0</x:v>
      </x:c>
      <x:c r="C127" s="3">
        <x:f>'1_참가선수입력'!C127</x:f>
        <x:v>0</x:v>
      </x:c>
      <x:c r="D127" s="3">
        <x:f>'1_참가선수입력'!D127</x:f>
        <x:v>0</x:v>
      </x:c>
      <x:c r="E127" s="4"/>
      <x:c r="F127" s="4"/>
      <x:c r="G127" s="4"/>
      <x:c r="H127" s="4"/>
      <x:c r="I127" s="4"/>
      <x:c r="J127" s="4"/>
      <x:c r="K127" s="4"/>
      <x:c r="L127" s="3" t="str">
        <x:f>IF(AND(E127="완료",F127="완료",G127="완료",H127="완료"),"완료","확인필요")</x:f>
        <x:v>확인필요</x:v>
      </x:c>
      <x:c r="M127" s="4"/>
      <x:c r="N127" s="4"/>
    </x:row>
    <x:row r="128" spans="1:14">
      <x:c r="A128" s="3">
        <x:f>'1_참가선수입력'!A128</x:f>
        <x:v>125</x:v>
      </x:c>
      <x:c r="B128" s="3">
        <x:f>'1_참가선수입력'!E128</x:f>
        <x:v>0</x:v>
      </x:c>
      <x:c r="C128" s="3">
        <x:f>'1_참가선수입력'!C128</x:f>
        <x:v>0</x:v>
      </x:c>
      <x:c r="D128" s="3">
        <x:f>'1_참가선수입력'!D128</x:f>
        <x:v>0</x:v>
      </x:c>
      <x:c r="E128" s="4"/>
      <x:c r="F128" s="4"/>
      <x:c r="G128" s="4"/>
      <x:c r="H128" s="4"/>
      <x:c r="I128" s="4"/>
      <x:c r="J128" s="4"/>
      <x:c r="K128" s="4"/>
      <x:c r="L128" s="3" t="str">
        <x:f>IF(AND(E128="완료",F128="완료",G128="완료",H128="완료"),"완료","확인필요")</x:f>
        <x:v>확인필요</x:v>
      </x:c>
      <x:c r="M128" s="4"/>
      <x:c r="N128" s="4"/>
    </x:row>
    <x:row r="129" spans="1:14">
      <x:c r="A129" s="3">
        <x:f>'1_참가선수입력'!A129</x:f>
        <x:v>126</x:v>
      </x:c>
      <x:c r="B129" s="3">
        <x:f>'1_참가선수입력'!E129</x:f>
        <x:v>0</x:v>
      </x:c>
      <x:c r="C129" s="3">
        <x:f>'1_참가선수입력'!C129</x:f>
        <x:v>0</x:v>
      </x:c>
      <x:c r="D129" s="3">
        <x:f>'1_참가선수입력'!D129</x:f>
        <x:v>0</x:v>
      </x:c>
      <x:c r="E129" s="4"/>
      <x:c r="F129" s="4"/>
      <x:c r="G129" s="4"/>
      <x:c r="H129" s="4"/>
      <x:c r="I129" s="4"/>
      <x:c r="J129" s="4"/>
      <x:c r="K129" s="4"/>
      <x:c r="L129" s="3" t="str">
        <x:f>IF(AND(E129="완료",F129="완료",G129="완료",H129="완료"),"완료","확인필요")</x:f>
        <x:v>확인필요</x:v>
      </x:c>
      <x:c r="M129" s="4"/>
      <x:c r="N129" s="4"/>
    </x:row>
    <x:row r="130" spans="1:14">
      <x:c r="A130" s="3">
        <x:f>'1_참가선수입력'!A130</x:f>
        <x:v>127</x:v>
      </x:c>
      <x:c r="B130" s="3">
        <x:f>'1_참가선수입력'!E130</x:f>
        <x:v>0</x:v>
      </x:c>
      <x:c r="C130" s="3">
        <x:f>'1_참가선수입력'!C130</x:f>
        <x:v>0</x:v>
      </x:c>
      <x:c r="D130" s="3">
        <x:f>'1_참가선수입력'!D130</x:f>
        <x:v>0</x:v>
      </x:c>
      <x:c r="E130" s="4"/>
      <x:c r="F130" s="4"/>
      <x:c r="G130" s="4"/>
      <x:c r="H130" s="4"/>
      <x:c r="I130" s="4"/>
      <x:c r="J130" s="4"/>
      <x:c r="K130" s="4"/>
      <x:c r="L130" s="3" t="str">
        <x:f>IF(AND(E130="완료",F130="완료",G130="완료",H130="완료"),"완료","확인필요")</x:f>
        <x:v>확인필요</x:v>
      </x:c>
      <x:c r="M130" s="4"/>
      <x:c r="N130" s="4"/>
    </x:row>
    <x:row r="131" spans="1:14">
      <x:c r="A131" s="3">
        <x:f>'1_참가선수입력'!A131</x:f>
        <x:v>128</x:v>
      </x:c>
      <x:c r="B131" s="3">
        <x:f>'1_참가선수입력'!E131</x:f>
        <x:v>0</x:v>
      </x:c>
      <x:c r="C131" s="3">
        <x:f>'1_참가선수입력'!C131</x:f>
        <x:v>0</x:v>
      </x:c>
      <x:c r="D131" s="3">
        <x:f>'1_참가선수입력'!D131</x:f>
        <x:v>0</x:v>
      </x:c>
      <x:c r="E131" s="4"/>
      <x:c r="F131" s="4"/>
      <x:c r="G131" s="4"/>
      <x:c r="H131" s="4"/>
      <x:c r="I131" s="4"/>
      <x:c r="J131" s="4"/>
      <x:c r="K131" s="4"/>
      <x:c r="L131" s="3" t="str">
        <x:f>IF(AND(E131="완료",F131="완료",G131="완료",H131="완료"),"완료","확인필요")</x:f>
        <x:v>확인필요</x:v>
      </x:c>
      <x:c r="M131" s="4"/>
      <x:c r="N131" s="4"/>
    </x:row>
    <x:row r="132" spans="1:14">
      <x:c r="A132" s="3">
        <x:f>'1_참가선수입력'!A132</x:f>
        <x:v>129</x:v>
      </x:c>
      <x:c r="B132" s="3">
        <x:f>'1_참가선수입력'!E132</x:f>
        <x:v>0</x:v>
      </x:c>
      <x:c r="C132" s="3">
        <x:f>'1_참가선수입력'!C132</x:f>
        <x:v>0</x:v>
      </x:c>
      <x:c r="D132" s="3">
        <x:f>'1_참가선수입력'!D132</x:f>
        <x:v>0</x:v>
      </x:c>
      <x:c r="E132" s="4"/>
      <x:c r="F132" s="4"/>
      <x:c r="G132" s="4"/>
      <x:c r="H132" s="4"/>
      <x:c r="I132" s="4"/>
      <x:c r="J132" s="4"/>
      <x:c r="K132" s="4"/>
      <x:c r="L132" s="3" t="str">
        <x:f>IF(AND(E132="완료",F132="완료",G132="완료",H132="완료"),"완료","확인필요")</x:f>
        <x:v>확인필요</x:v>
      </x:c>
      <x:c r="M132" s="4"/>
      <x:c r="N132" s="4"/>
    </x:row>
    <x:row r="133" spans="1:14">
      <x:c r="A133" s="3">
        <x:f>'1_참가선수입력'!A133</x:f>
        <x:v>130</x:v>
      </x:c>
      <x:c r="B133" s="3">
        <x:f>'1_참가선수입력'!E133</x:f>
        <x:v>0</x:v>
      </x:c>
      <x:c r="C133" s="3">
        <x:f>'1_참가선수입력'!C133</x:f>
        <x:v>0</x:v>
      </x:c>
      <x:c r="D133" s="3">
        <x:f>'1_참가선수입력'!D133</x:f>
        <x:v>0</x:v>
      </x:c>
      <x:c r="E133" s="4"/>
      <x:c r="F133" s="4"/>
      <x:c r="G133" s="4"/>
      <x:c r="H133" s="4"/>
      <x:c r="I133" s="4"/>
      <x:c r="J133" s="4"/>
      <x:c r="K133" s="4"/>
      <x:c r="L133" s="3" t="str">
        <x:f>IF(AND(E133="완료",F133="완료",G133="완료",H133="완료"),"완료","확인필요")</x:f>
        <x:v>확인필요</x:v>
      </x:c>
      <x:c r="M133" s="4"/>
      <x:c r="N133" s="4"/>
    </x:row>
    <x:row r="134" spans="1:14">
      <x:c r="A134" s="3">
        <x:f>'1_참가선수입력'!A134</x:f>
        <x:v>131</x:v>
      </x:c>
      <x:c r="B134" s="3">
        <x:f>'1_참가선수입력'!E134</x:f>
        <x:v>0</x:v>
      </x:c>
      <x:c r="C134" s="3">
        <x:f>'1_참가선수입력'!C134</x:f>
        <x:v>0</x:v>
      </x:c>
      <x:c r="D134" s="3">
        <x:f>'1_참가선수입력'!D134</x:f>
        <x:v>0</x:v>
      </x:c>
      <x:c r="E134" s="4"/>
      <x:c r="F134" s="4"/>
      <x:c r="G134" s="4"/>
      <x:c r="H134" s="4"/>
      <x:c r="I134" s="4"/>
      <x:c r="J134" s="4"/>
      <x:c r="K134" s="4"/>
      <x:c r="L134" s="3" t="str">
        <x:f>IF(AND(E134="완료",F134="완료",G134="완료",H134="완료"),"완료","확인필요")</x:f>
        <x:v>확인필요</x:v>
      </x:c>
      <x:c r="M134" s="4"/>
      <x:c r="N134" s="4"/>
    </x:row>
    <x:row r="135" spans="1:14">
      <x:c r="A135" s="3">
        <x:f>'1_참가선수입력'!A135</x:f>
        <x:v>132</x:v>
      </x:c>
      <x:c r="B135" s="3">
        <x:f>'1_참가선수입력'!E135</x:f>
        <x:v>0</x:v>
      </x:c>
      <x:c r="C135" s="3">
        <x:f>'1_참가선수입력'!C135</x:f>
        <x:v>0</x:v>
      </x:c>
      <x:c r="D135" s="3">
        <x:f>'1_참가선수입력'!D135</x:f>
        <x:v>0</x:v>
      </x:c>
      <x:c r="E135" s="4"/>
      <x:c r="F135" s="4"/>
      <x:c r="G135" s="4"/>
      <x:c r="H135" s="4"/>
      <x:c r="I135" s="4"/>
      <x:c r="J135" s="4"/>
      <x:c r="K135" s="4"/>
      <x:c r="L135" s="3" t="str">
        <x:f>IF(AND(E135="완료",F135="완료",G135="완료",H135="완료"),"완료","확인필요")</x:f>
        <x:v>확인필요</x:v>
      </x:c>
      <x:c r="M135" s="4"/>
      <x:c r="N135" s="4"/>
    </x:row>
    <x:row r="136" spans="1:14">
      <x:c r="A136" s="3">
        <x:f>'1_참가선수입력'!A136</x:f>
        <x:v>133</x:v>
      </x:c>
      <x:c r="B136" s="3">
        <x:f>'1_참가선수입력'!E136</x:f>
        <x:v>0</x:v>
      </x:c>
      <x:c r="C136" s="3">
        <x:f>'1_참가선수입력'!C136</x:f>
        <x:v>0</x:v>
      </x:c>
      <x:c r="D136" s="3">
        <x:f>'1_참가선수입력'!D136</x:f>
        <x:v>0</x:v>
      </x:c>
      <x:c r="E136" s="4"/>
      <x:c r="F136" s="4"/>
      <x:c r="G136" s="4"/>
      <x:c r="H136" s="4"/>
      <x:c r="I136" s="4"/>
      <x:c r="J136" s="4"/>
      <x:c r="K136" s="4"/>
      <x:c r="L136" s="3" t="str">
        <x:f>IF(AND(E136="완료",F136="완료",G136="완료",H136="완료"),"완료","확인필요")</x:f>
        <x:v>확인필요</x:v>
      </x:c>
      <x:c r="M136" s="4"/>
      <x:c r="N136" s="4"/>
    </x:row>
    <x:row r="137" spans="1:14">
      <x:c r="A137" s="3">
        <x:f>'1_참가선수입력'!A137</x:f>
        <x:v>134</x:v>
      </x:c>
      <x:c r="B137" s="3">
        <x:f>'1_참가선수입력'!E137</x:f>
        <x:v>0</x:v>
      </x:c>
      <x:c r="C137" s="3">
        <x:f>'1_참가선수입력'!C137</x:f>
        <x:v>0</x:v>
      </x:c>
      <x:c r="D137" s="3">
        <x:f>'1_참가선수입력'!D137</x:f>
        <x:v>0</x:v>
      </x:c>
      <x:c r="E137" s="4"/>
      <x:c r="F137" s="4"/>
      <x:c r="G137" s="4"/>
      <x:c r="H137" s="4"/>
      <x:c r="I137" s="4"/>
      <x:c r="J137" s="4"/>
      <x:c r="K137" s="4"/>
      <x:c r="L137" s="3" t="str">
        <x:f>IF(AND(E137="완료",F137="완료",G137="완료",H137="완료"),"완료","확인필요")</x:f>
        <x:v>확인필요</x:v>
      </x:c>
      <x:c r="M137" s="4"/>
      <x:c r="N137" s="4"/>
    </x:row>
    <x:row r="138" spans="1:14">
      <x:c r="A138" s="3">
        <x:f>'1_참가선수입력'!A138</x:f>
        <x:v>135</x:v>
      </x:c>
      <x:c r="B138" s="3">
        <x:f>'1_참가선수입력'!E138</x:f>
        <x:v>0</x:v>
      </x:c>
      <x:c r="C138" s="3">
        <x:f>'1_참가선수입력'!C138</x:f>
        <x:v>0</x:v>
      </x:c>
      <x:c r="D138" s="3">
        <x:f>'1_참가선수입력'!D138</x:f>
        <x:v>0</x:v>
      </x:c>
      <x:c r="E138" s="4"/>
      <x:c r="F138" s="4"/>
      <x:c r="G138" s="4"/>
      <x:c r="H138" s="4"/>
      <x:c r="I138" s="4"/>
      <x:c r="J138" s="4"/>
      <x:c r="K138" s="4"/>
      <x:c r="L138" s="3" t="str">
        <x:f>IF(AND(E138="완료",F138="완료",G138="완료",H138="완료"),"완료","확인필요")</x:f>
        <x:v>확인필요</x:v>
      </x:c>
      <x:c r="M138" s="4"/>
      <x:c r="N138" s="4"/>
    </x:row>
    <x:row r="139" spans="1:14">
      <x:c r="A139" s="3">
        <x:f>'1_참가선수입력'!A139</x:f>
        <x:v>136</x:v>
      </x:c>
      <x:c r="B139" s="3">
        <x:f>'1_참가선수입력'!E139</x:f>
        <x:v>0</x:v>
      </x:c>
      <x:c r="C139" s="3">
        <x:f>'1_참가선수입력'!C139</x:f>
        <x:v>0</x:v>
      </x:c>
      <x:c r="D139" s="3">
        <x:f>'1_참가선수입력'!D139</x:f>
        <x:v>0</x:v>
      </x:c>
      <x:c r="E139" s="4"/>
      <x:c r="F139" s="4"/>
      <x:c r="G139" s="4"/>
      <x:c r="H139" s="4"/>
      <x:c r="I139" s="4"/>
      <x:c r="J139" s="4"/>
      <x:c r="K139" s="4"/>
      <x:c r="L139" s="3" t="str">
        <x:f>IF(AND(E139="완료",F139="완료",G139="완료",H139="완료"),"완료","확인필요")</x:f>
        <x:v>확인필요</x:v>
      </x:c>
      <x:c r="M139" s="4"/>
      <x:c r="N139" s="4"/>
    </x:row>
    <x:row r="140" spans="1:14">
      <x:c r="A140" s="3">
        <x:f>'1_참가선수입력'!A140</x:f>
        <x:v>137</x:v>
      </x:c>
      <x:c r="B140" s="3">
        <x:f>'1_참가선수입력'!E140</x:f>
        <x:v>0</x:v>
      </x:c>
      <x:c r="C140" s="3">
        <x:f>'1_참가선수입력'!C140</x:f>
        <x:v>0</x:v>
      </x:c>
      <x:c r="D140" s="3">
        <x:f>'1_참가선수입력'!D140</x:f>
        <x:v>0</x:v>
      </x:c>
      <x:c r="E140" s="4"/>
      <x:c r="F140" s="4"/>
      <x:c r="G140" s="4"/>
      <x:c r="H140" s="4"/>
      <x:c r="I140" s="4"/>
      <x:c r="J140" s="4"/>
      <x:c r="K140" s="4"/>
      <x:c r="L140" s="3" t="str">
        <x:f>IF(AND(E140="완료",F140="완료",G140="완료",H140="완료"),"완료","확인필요")</x:f>
        <x:v>확인필요</x:v>
      </x:c>
      <x:c r="M140" s="4"/>
      <x:c r="N140" s="4"/>
    </x:row>
    <x:row r="141" spans="1:14">
      <x:c r="A141" s="3">
        <x:f>'1_참가선수입력'!A141</x:f>
        <x:v>138</x:v>
      </x:c>
      <x:c r="B141" s="3">
        <x:f>'1_참가선수입력'!E141</x:f>
        <x:v>0</x:v>
      </x:c>
      <x:c r="C141" s="3">
        <x:f>'1_참가선수입력'!C141</x:f>
        <x:v>0</x:v>
      </x:c>
      <x:c r="D141" s="3">
        <x:f>'1_참가선수입력'!D141</x:f>
        <x:v>0</x:v>
      </x:c>
      <x:c r="E141" s="4"/>
      <x:c r="F141" s="4"/>
      <x:c r="G141" s="4"/>
      <x:c r="H141" s="4"/>
      <x:c r="I141" s="4"/>
      <x:c r="J141" s="4"/>
      <x:c r="K141" s="4"/>
      <x:c r="L141" s="3" t="str">
        <x:f>IF(AND(E141="완료",F141="완료",G141="완료",H141="완료"),"완료","확인필요")</x:f>
        <x:v>확인필요</x:v>
      </x:c>
      <x:c r="M141" s="4"/>
      <x:c r="N141" s="4"/>
    </x:row>
    <x:row r="142" spans="1:14">
      <x:c r="A142" s="3">
        <x:f>'1_참가선수입력'!A142</x:f>
        <x:v>139</x:v>
      </x:c>
      <x:c r="B142" s="3">
        <x:f>'1_참가선수입력'!E142</x:f>
        <x:v>0</x:v>
      </x:c>
      <x:c r="C142" s="3">
        <x:f>'1_참가선수입력'!C142</x:f>
        <x:v>0</x:v>
      </x:c>
      <x:c r="D142" s="3">
        <x:f>'1_참가선수입력'!D142</x:f>
        <x:v>0</x:v>
      </x:c>
      <x:c r="E142" s="4"/>
      <x:c r="F142" s="4"/>
      <x:c r="G142" s="4"/>
      <x:c r="H142" s="4"/>
      <x:c r="I142" s="4"/>
      <x:c r="J142" s="4"/>
      <x:c r="K142" s="4"/>
      <x:c r="L142" s="3" t="str">
        <x:f>IF(AND(E142="완료",F142="완료",G142="완료",H142="완료"),"완료","확인필요")</x:f>
        <x:v>확인필요</x:v>
      </x:c>
      <x:c r="M142" s="4"/>
      <x:c r="N142" s="4"/>
    </x:row>
    <x:row r="143" spans="1:14">
      <x:c r="A143" s="3">
        <x:f>'1_참가선수입력'!A143</x:f>
        <x:v>140</x:v>
      </x:c>
      <x:c r="B143" s="3">
        <x:f>'1_참가선수입력'!E143</x:f>
        <x:v>0</x:v>
      </x:c>
      <x:c r="C143" s="3">
        <x:f>'1_참가선수입력'!C143</x:f>
        <x:v>0</x:v>
      </x:c>
      <x:c r="D143" s="3">
        <x:f>'1_참가선수입력'!D143</x:f>
        <x:v>0</x:v>
      </x:c>
      <x:c r="E143" s="4"/>
      <x:c r="F143" s="4"/>
      <x:c r="G143" s="4"/>
      <x:c r="H143" s="4"/>
      <x:c r="I143" s="4"/>
      <x:c r="J143" s="4"/>
      <x:c r="K143" s="4"/>
      <x:c r="L143" s="3" t="str">
        <x:f>IF(AND(E143="완료",F143="완료",G143="완료",H143="완료"),"완료","확인필요")</x:f>
        <x:v>확인필요</x:v>
      </x:c>
      <x:c r="M143" s="4"/>
      <x:c r="N143" s="4"/>
    </x:row>
    <x:row r="144" spans="1:14">
      <x:c r="A144" s="3">
        <x:f>'1_참가선수입력'!A144</x:f>
        <x:v>141</x:v>
      </x:c>
      <x:c r="B144" s="3">
        <x:f>'1_참가선수입력'!E144</x:f>
        <x:v>0</x:v>
      </x:c>
      <x:c r="C144" s="3">
        <x:f>'1_참가선수입력'!C144</x:f>
        <x:v>0</x:v>
      </x:c>
      <x:c r="D144" s="3">
        <x:f>'1_참가선수입력'!D144</x:f>
        <x:v>0</x:v>
      </x:c>
      <x:c r="E144" s="4"/>
      <x:c r="F144" s="4"/>
      <x:c r="G144" s="4"/>
      <x:c r="H144" s="4"/>
      <x:c r="I144" s="4"/>
      <x:c r="J144" s="4"/>
      <x:c r="K144" s="4"/>
      <x:c r="L144" s="3" t="str">
        <x:f>IF(AND(E144="완료",F144="완료",G144="완료",H144="완료"),"완료","확인필요")</x:f>
        <x:v>확인필요</x:v>
      </x:c>
      <x:c r="M144" s="4"/>
      <x:c r="N144" s="4"/>
    </x:row>
    <x:row r="145" spans="1:14">
      <x:c r="A145" s="3">
        <x:f>'1_참가선수입력'!A145</x:f>
        <x:v>142</x:v>
      </x:c>
      <x:c r="B145" s="3">
        <x:f>'1_참가선수입력'!E145</x:f>
        <x:v>0</x:v>
      </x:c>
      <x:c r="C145" s="3">
        <x:f>'1_참가선수입력'!C145</x:f>
        <x:v>0</x:v>
      </x:c>
      <x:c r="D145" s="3">
        <x:f>'1_참가선수입력'!D145</x:f>
        <x:v>0</x:v>
      </x:c>
      <x:c r="E145" s="4"/>
      <x:c r="F145" s="4"/>
      <x:c r="G145" s="4"/>
      <x:c r="H145" s="4"/>
      <x:c r="I145" s="4"/>
      <x:c r="J145" s="4"/>
      <x:c r="K145" s="4"/>
      <x:c r="L145" s="3" t="str">
        <x:f>IF(AND(E145="완료",F145="완료",G145="완료",H145="완료"),"완료","확인필요")</x:f>
        <x:v>확인필요</x:v>
      </x:c>
      <x:c r="M145" s="4"/>
      <x:c r="N145" s="4"/>
    </x:row>
    <x:row r="146" spans="1:14">
      <x:c r="A146" s="3">
        <x:f>'1_참가선수입력'!A146</x:f>
        <x:v>143</x:v>
      </x:c>
      <x:c r="B146" s="3">
        <x:f>'1_참가선수입력'!E146</x:f>
        <x:v>0</x:v>
      </x:c>
      <x:c r="C146" s="3">
        <x:f>'1_참가선수입력'!C146</x:f>
        <x:v>0</x:v>
      </x:c>
      <x:c r="D146" s="3">
        <x:f>'1_참가선수입력'!D146</x:f>
        <x:v>0</x:v>
      </x:c>
      <x:c r="E146" s="4"/>
      <x:c r="F146" s="4"/>
      <x:c r="G146" s="4"/>
      <x:c r="H146" s="4"/>
      <x:c r="I146" s="4"/>
      <x:c r="J146" s="4"/>
      <x:c r="K146" s="4"/>
      <x:c r="L146" s="3" t="str">
        <x:f>IF(AND(E146="완료",F146="완료",G146="완료",H146="완료"),"완료","확인필요")</x:f>
        <x:v>확인필요</x:v>
      </x:c>
      <x:c r="M146" s="4"/>
      <x:c r="N146" s="4"/>
    </x:row>
    <x:row r="147" spans="1:14">
      <x:c r="A147" s="3">
        <x:f>'1_참가선수입력'!A147</x:f>
        <x:v>144</x:v>
      </x:c>
      <x:c r="B147" s="3">
        <x:f>'1_참가선수입력'!E147</x:f>
        <x:v>0</x:v>
      </x:c>
      <x:c r="C147" s="3">
        <x:f>'1_참가선수입력'!C147</x:f>
        <x:v>0</x:v>
      </x:c>
      <x:c r="D147" s="3">
        <x:f>'1_참가선수입력'!D147</x:f>
        <x:v>0</x:v>
      </x:c>
      <x:c r="E147" s="4"/>
      <x:c r="F147" s="4"/>
      <x:c r="G147" s="4"/>
      <x:c r="H147" s="4"/>
      <x:c r="I147" s="4"/>
      <x:c r="J147" s="4"/>
      <x:c r="K147" s="4"/>
      <x:c r="L147" s="3" t="str">
        <x:f>IF(AND(E147="완료",F147="완료",G147="완료",H147="완료"),"완료","확인필요")</x:f>
        <x:v>확인필요</x:v>
      </x:c>
      <x:c r="M147" s="4"/>
      <x:c r="N147" s="4"/>
    </x:row>
    <x:row r="148" spans="1:14">
      <x:c r="A148" s="3">
        <x:f>'1_참가선수입력'!A148</x:f>
        <x:v>145</x:v>
      </x:c>
      <x:c r="B148" s="3">
        <x:f>'1_참가선수입력'!E148</x:f>
        <x:v>0</x:v>
      </x:c>
      <x:c r="C148" s="3">
        <x:f>'1_참가선수입력'!C148</x:f>
        <x:v>0</x:v>
      </x:c>
      <x:c r="D148" s="3">
        <x:f>'1_참가선수입력'!D148</x:f>
        <x:v>0</x:v>
      </x:c>
      <x:c r="E148" s="4"/>
      <x:c r="F148" s="4"/>
      <x:c r="G148" s="4"/>
      <x:c r="H148" s="4"/>
      <x:c r="I148" s="4"/>
      <x:c r="J148" s="4"/>
      <x:c r="K148" s="4"/>
      <x:c r="L148" s="3" t="str">
        <x:f>IF(AND(E148="완료",F148="완료",G148="완료",H148="완료"),"완료","확인필요")</x:f>
        <x:v>확인필요</x:v>
      </x:c>
      <x:c r="M148" s="4"/>
      <x:c r="N148" s="4"/>
    </x:row>
    <x:row r="149" spans="1:14">
      <x:c r="A149" s="3">
        <x:f>'1_참가선수입력'!A149</x:f>
        <x:v>146</x:v>
      </x:c>
      <x:c r="B149" s="3">
        <x:f>'1_참가선수입력'!E149</x:f>
        <x:v>0</x:v>
      </x:c>
      <x:c r="C149" s="3">
        <x:f>'1_참가선수입력'!C149</x:f>
        <x:v>0</x:v>
      </x:c>
      <x:c r="D149" s="3">
        <x:f>'1_참가선수입력'!D149</x:f>
        <x:v>0</x:v>
      </x:c>
      <x:c r="E149" s="4"/>
      <x:c r="F149" s="4"/>
      <x:c r="G149" s="4"/>
      <x:c r="H149" s="4"/>
      <x:c r="I149" s="4"/>
      <x:c r="J149" s="4"/>
      <x:c r="K149" s="4"/>
      <x:c r="L149" s="3" t="str">
        <x:f>IF(AND(E149="완료",F149="완료",G149="완료",H149="완료"),"완료","확인필요")</x:f>
        <x:v>확인필요</x:v>
      </x:c>
      <x:c r="M149" s="4"/>
      <x:c r="N149" s="4"/>
    </x:row>
    <x:row r="150" spans="1:14">
      <x:c r="A150" s="3">
        <x:f>'1_참가선수입력'!A150</x:f>
        <x:v>147</x:v>
      </x:c>
      <x:c r="B150" s="3">
        <x:f>'1_참가선수입력'!E150</x:f>
        <x:v>0</x:v>
      </x:c>
      <x:c r="C150" s="3">
        <x:f>'1_참가선수입력'!C150</x:f>
        <x:v>0</x:v>
      </x:c>
      <x:c r="D150" s="3">
        <x:f>'1_참가선수입력'!D150</x:f>
        <x:v>0</x:v>
      </x:c>
      <x:c r="E150" s="4"/>
      <x:c r="F150" s="4"/>
      <x:c r="G150" s="4"/>
      <x:c r="H150" s="4"/>
      <x:c r="I150" s="4"/>
      <x:c r="J150" s="4"/>
      <x:c r="K150" s="4"/>
      <x:c r="L150" s="3" t="str">
        <x:f>IF(AND(E150="완료",F150="완료",G150="완료",H150="완료"),"완료","확인필요")</x:f>
        <x:v>확인필요</x:v>
      </x:c>
      <x:c r="M150" s="4"/>
      <x:c r="N150" s="4"/>
    </x:row>
    <x:row r="151" spans="1:14">
      <x:c r="A151" s="3">
        <x:f>'1_참가선수입력'!A151</x:f>
        <x:v>148</x:v>
      </x:c>
      <x:c r="B151" s="3">
        <x:f>'1_참가선수입력'!E151</x:f>
        <x:v>0</x:v>
      </x:c>
      <x:c r="C151" s="3">
        <x:f>'1_참가선수입력'!C151</x:f>
        <x:v>0</x:v>
      </x:c>
      <x:c r="D151" s="3">
        <x:f>'1_참가선수입력'!D151</x:f>
        <x:v>0</x:v>
      </x:c>
      <x:c r="E151" s="4"/>
      <x:c r="F151" s="4"/>
      <x:c r="G151" s="4"/>
      <x:c r="H151" s="4"/>
      <x:c r="I151" s="4"/>
      <x:c r="J151" s="4"/>
      <x:c r="K151" s="4"/>
      <x:c r="L151" s="3" t="str">
        <x:f>IF(AND(E151="완료",F151="완료",G151="완료",H151="완료"),"완료","확인필요")</x:f>
        <x:v>확인필요</x:v>
      </x:c>
      <x:c r="M151" s="4"/>
      <x:c r="N151" s="4"/>
    </x:row>
    <x:row r="152" spans="1:14">
      <x:c r="A152" s="3">
        <x:f>'1_참가선수입력'!A152</x:f>
        <x:v>149</x:v>
      </x:c>
      <x:c r="B152" s="3">
        <x:f>'1_참가선수입력'!E152</x:f>
        <x:v>0</x:v>
      </x:c>
      <x:c r="C152" s="3">
        <x:f>'1_참가선수입력'!C152</x:f>
        <x:v>0</x:v>
      </x:c>
      <x:c r="D152" s="3">
        <x:f>'1_참가선수입력'!D152</x:f>
        <x:v>0</x:v>
      </x:c>
      <x:c r="E152" s="4"/>
      <x:c r="F152" s="4"/>
      <x:c r="G152" s="4"/>
      <x:c r="H152" s="4"/>
      <x:c r="I152" s="4"/>
      <x:c r="J152" s="4"/>
      <x:c r="K152" s="4"/>
      <x:c r="L152" s="3" t="str">
        <x:f>IF(AND(E152="완료",F152="완료",G152="완료",H152="완료"),"완료","확인필요")</x:f>
        <x:v>확인필요</x:v>
      </x:c>
      <x:c r="M152" s="4"/>
      <x:c r="N152" s="4"/>
    </x:row>
    <x:row r="153" spans="1:14">
      <x:c r="A153" s="3">
        <x:f>'1_참가선수입력'!A153</x:f>
        <x:v>150</x:v>
      </x:c>
      <x:c r="B153" s="3">
        <x:f>'1_참가선수입력'!E153</x:f>
        <x:v>0</x:v>
      </x:c>
      <x:c r="C153" s="3">
        <x:f>'1_참가선수입력'!C153</x:f>
        <x:v>0</x:v>
      </x:c>
      <x:c r="D153" s="3">
        <x:f>'1_참가선수입력'!D153</x:f>
        <x:v>0</x:v>
      </x:c>
      <x:c r="E153" s="4"/>
      <x:c r="F153" s="4"/>
      <x:c r="G153" s="4"/>
      <x:c r="H153" s="4"/>
      <x:c r="I153" s="4"/>
      <x:c r="J153" s="4"/>
      <x:c r="K153" s="4"/>
      <x:c r="L153" s="3" t="str">
        <x:f>IF(AND(E153="완료",F153="완료",G153="완료",H153="완료"),"완료","확인필요")</x:f>
        <x:v>확인필요</x:v>
      </x:c>
      <x:c r="M153" s="4"/>
      <x:c r="N153" s="4"/>
    </x:row>
    <x:row r="154" spans="1:14">
      <x:c r="A154" s="3">
        <x:f>'1_참가선수입력'!A154</x:f>
        <x:v>151</x:v>
      </x:c>
      <x:c r="B154" s="3">
        <x:f>'1_참가선수입력'!E154</x:f>
        <x:v>0</x:v>
      </x:c>
      <x:c r="C154" s="3">
        <x:f>'1_참가선수입력'!C154</x:f>
        <x:v>0</x:v>
      </x:c>
      <x:c r="D154" s="3">
        <x:f>'1_참가선수입력'!D154</x:f>
        <x:v>0</x:v>
      </x:c>
      <x:c r="E154" s="4"/>
      <x:c r="F154" s="4"/>
      <x:c r="G154" s="4"/>
      <x:c r="H154" s="4"/>
      <x:c r="I154" s="4"/>
      <x:c r="J154" s="4"/>
      <x:c r="K154" s="4"/>
      <x:c r="L154" s="3" t="str">
        <x:f>IF(AND(E154="완료",F154="완료",G154="완료",H154="완료"),"완료","확인필요")</x:f>
        <x:v>확인필요</x:v>
      </x:c>
      <x:c r="M154" s="4"/>
      <x:c r="N154" s="4"/>
    </x:row>
    <x:row r="155" spans="1:14">
      <x:c r="A155" s="3">
        <x:f>'1_참가선수입력'!A155</x:f>
        <x:v>152</x:v>
      </x:c>
      <x:c r="B155" s="3">
        <x:f>'1_참가선수입력'!E155</x:f>
        <x:v>0</x:v>
      </x:c>
      <x:c r="C155" s="3">
        <x:f>'1_참가선수입력'!C155</x:f>
        <x:v>0</x:v>
      </x:c>
      <x:c r="D155" s="3">
        <x:f>'1_참가선수입력'!D155</x:f>
        <x:v>0</x:v>
      </x:c>
      <x:c r="E155" s="4"/>
      <x:c r="F155" s="4"/>
      <x:c r="G155" s="4"/>
      <x:c r="H155" s="4"/>
      <x:c r="I155" s="4"/>
      <x:c r="J155" s="4"/>
      <x:c r="K155" s="4"/>
      <x:c r="L155" s="3" t="str">
        <x:f>IF(AND(E155="완료",F155="완료",G155="완료",H155="완료"),"완료","확인필요")</x:f>
        <x:v>확인필요</x:v>
      </x:c>
      <x:c r="M155" s="4"/>
      <x:c r="N155" s="4"/>
    </x:row>
    <x:row r="156" spans="1:14">
      <x:c r="A156" s="3">
        <x:f>'1_참가선수입력'!A156</x:f>
        <x:v>153</x:v>
      </x:c>
      <x:c r="B156" s="3">
        <x:f>'1_참가선수입력'!E156</x:f>
        <x:v>0</x:v>
      </x:c>
      <x:c r="C156" s="3">
        <x:f>'1_참가선수입력'!C156</x:f>
        <x:v>0</x:v>
      </x:c>
      <x:c r="D156" s="3">
        <x:f>'1_참가선수입력'!D156</x:f>
        <x:v>0</x:v>
      </x:c>
      <x:c r="E156" s="4"/>
      <x:c r="F156" s="4"/>
      <x:c r="G156" s="4"/>
      <x:c r="H156" s="4"/>
      <x:c r="I156" s="4"/>
      <x:c r="J156" s="4"/>
      <x:c r="K156" s="4"/>
      <x:c r="L156" s="3" t="str">
        <x:f>IF(AND(E156="완료",F156="완료",G156="완료",H156="완료"),"완료","확인필요")</x:f>
        <x:v>확인필요</x:v>
      </x:c>
      <x:c r="M156" s="4"/>
      <x:c r="N156" s="4"/>
    </x:row>
    <x:row r="157" spans="1:14">
      <x:c r="A157" s="3">
        <x:f>'1_참가선수입력'!A157</x:f>
        <x:v>154</x:v>
      </x:c>
      <x:c r="B157" s="3">
        <x:f>'1_참가선수입력'!E157</x:f>
        <x:v>0</x:v>
      </x:c>
      <x:c r="C157" s="3">
        <x:f>'1_참가선수입력'!C157</x:f>
        <x:v>0</x:v>
      </x:c>
      <x:c r="D157" s="3">
        <x:f>'1_참가선수입력'!D157</x:f>
        <x:v>0</x:v>
      </x:c>
      <x:c r="E157" s="4"/>
      <x:c r="F157" s="4"/>
      <x:c r="G157" s="4"/>
      <x:c r="H157" s="4"/>
      <x:c r="I157" s="4"/>
      <x:c r="J157" s="4"/>
      <x:c r="K157" s="4"/>
      <x:c r="L157" s="3" t="str">
        <x:f>IF(AND(E157="완료",F157="완료",G157="완료",H157="완료"),"완료","확인필요")</x:f>
        <x:v>확인필요</x:v>
      </x:c>
      <x:c r="M157" s="4"/>
      <x:c r="N157" s="4"/>
    </x:row>
    <x:row r="158" spans="1:14">
      <x:c r="A158" s="3">
        <x:f>'1_참가선수입력'!A158</x:f>
        <x:v>155</x:v>
      </x:c>
      <x:c r="B158" s="3">
        <x:f>'1_참가선수입력'!E158</x:f>
        <x:v>0</x:v>
      </x:c>
      <x:c r="C158" s="3">
        <x:f>'1_참가선수입력'!C158</x:f>
        <x:v>0</x:v>
      </x:c>
      <x:c r="D158" s="3">
        <x:f>'1_참가선수입력'!D158</x:f>
        <x:v>0</x:v>
      </x:c>
      <x:c r="E158" s="4"/>
      <x:c r="F158" s="4"/>
      <x:c r="G158" s="4"/>
      <x:c r="H158" s="4"/>
      <x:c r="I158" s="4"/>
      <x:c r="J158" s="4"/>
      <x:c r="K158" s="4"/>
      <x:c r="L158" s="3" t="str">
        <x:f>IF(AND(E158="완료",F158="완료",G158="완료",H158="완료"),"완료","확인필요")</x:f>
        <x:v>확인필요</x:v>
      </x:c>
      <x:c r="M158" s="4"/>
      <x:c r="N158" s="4"/>
    </x:row>
    <x:row r="159" spans="1:14">
      <x:c r="A159" s="3">
        <x:f>'1_참가선수입력'!A159</x:f>
        <x:v>156</x:v>
      </x:c>
      <x:c r="B159" s="3">
        <x:f>'1_참가선수입력'!E159</x:f>
        <x:v>0</x:v>
      </x:c>
      <x:c r="C159" s="3">
        <x:f>'1_참가선수입력'!C159</x:f>
        <x:v>0</x:v>
      </x:c>
      <x:c r="D159" s="3">
        <x:f>'1_참가선수입력'!D159</x:f>
        <x:v>0</x:v>
      </x:c>
      <x:c r="E159" s="4"/>
      <x:c r="F159" s="4"/>
      <x:c r="G159" s="4"/>
      <x:c r="H159" s="4"/>
      <x:c r="I159" s="4"/>
      <x:c r="J159" s="4"/>
      <x:c r="K159" s="4"/>
      <x:c r="L159" s="3" t="str">
        <x:f>IF(AND(E159="완료",F159="완료",G159="완료",H159="완료"),"완료","확인필요")</x:f>
        <x:v>확인필요</x:v>
      </x:c>
      <x:c r="M159" s="4"/>
      <x:c r="N159" s="4"/>
    </x:row>
    <x:row r="160" spans="1:14">
      <x:c r="A160" s="3">
        <x:f>'1_참가선수입력'!A160</x:f>
        <x:v>157</x:v>
      </x:c>
      <x:c r="B160" s="3">
        <x:f>'1_참가선수입력'!E160</x:f>
        <x:v>0</x:v>
      </x:c>
      <x:c r="C160" s="3">
        <x:f>'1_참가선수입력'!C160</x:f>
        <x:v>0</x:v>
      </x:c>
      <x:c r="D160" s="3">
        <x:f>'1_참가선수입력'!D160</x:f>
        <x:v>0</x:v>
      </x:c>
      <x:c r="E160" s="4"/>
      <x:c r="F160" s="4"/>
      <x:c r="G160" s="4"/>
      <x:c r="H160" s="4"/>
      <x:c r="I160" s="4"/>
      <x:c r="J160" s="4"/>
      <x:c r="K160" s="4"/>
      <x:c r="L160" s="3" t="str">
        <x:f>IF(AND(E160="완료",F160="완료",G160="완료",H160="완료"),"완료","확인필요")</x:f>
        <x:v>확인필요</x:v>
      </x:c>
      <x:c r="M160" s="4"/>
      <x:c r="N160" s="4"/>
    </x:row>
    <x:row r="161" spans="1:14">
      <x:c r="A161" s="3">
        <x:f>'1_참가선수입력'!A161</x:f>
        <x:v>158</x:v>
      </x:c>
      <x:c r="B161" s="3">
        <x:f>'1_참가선수입력'!E161</x:f>
        <x:v>0</x:v>
      </x:c>
      <x:c r="C161" s="3">
        <x:f>'1_참가선수입력'!C161</x:f>
        <x:v>0</x:v>
      </x:c>
      <x:c r="D161" s="3">
        <x:f>'1_참가선수입력'!D161</x:f>
        <x:v>0</x:v>
      </x:c>
      <x:c r="E161" s="4"/>
      <x:c r="F161" s="4"/>
      <x:c r="G161" s="4"/>
      <x:c r="H161" s="4"/>
      <x:c r="I161" s="4"/>
      <x:c r="J161" s="4"/>
      <x:c r="K161" s="4"/>
      <x:c r="L161" s="3" t="str">
        <x:f>IF(AND(E161="완료",F161="완료",G161="완료",H161="완료"),"완료","확인필요")</x:f>
        <x:v>확인필요</x:v>
      </x:c>
      <x:c r="M161" s="4"/>
      <x:c r="N161" s="4"/>
    </x:row>
    <x:row r="162" spans="1:14">
      <x:c r="A162" s="3">
        <x:f>'1_참가선수입력'!A162</x:f>
        <x:v>159</x:v>
      </x:c>
      <x:c r="B162" s="3">
        <x:f>'1_참가선수입력'!E162</x:f>
        <x:v>0</x:v>
      </x:c>
      <x:c r="C162" s="3">
        <x:f>'1_참가선수입력'!C162</x:f>
        <x:v>0</x:v>
      </x:c>
      <x:c r="D162" s="3">
        <x:f>'1_참가선수입력'!D162</x:f>
        <x:v>0</x:v>
      </x:c>
      <x:c r="E162" s="4"/>
      <x:c r="F162" s="4"/>
      <x:c r="G162" s="4"/>
      <x:c r="H162" s="4"/>
      <x:c r="I162" s="4"/>
      <x:c r="J162" s="4"/>
      <x:c r="K162" s="4"/>
      <x:c r="L162" s="3" t="str">
        <x:f>IF(AND(E162="완료",F162="완료",G162="완료",H162="완료"),"완료","확인필요")</x:f>
        <x:v>확인필요</x:v>
      </x:c>
      <x:c r="M162" s="4"/>
      <x:c r="N162" s="4"/>
    </x:row>
    <x:row r="163" spans="1:14">
      <x:c r="A163" s="3">
        <x:f>'1_참가선수입력'!A163</x:f>
        <x:v>160</x:v>
      </x:c>
      <x:c r="B163" s="3">
        <x:f>'1_참가선수입력'!E163</x:f>
        <x:v>0</x:v>
      </x:c>
      <x:c r="C163" s="3">
        <x:f>'1_참가선수입력'!C163</x:f>
        <x:v>0</x:v>
      </x:c>
      <x:c r="D163" s="3">
        <x:f>'1_참가선수입력'!D163</x:f>
        <x:v>0</x:v>
      </x:c>
      <x:c r="E163" s="4"/>
      <x:c r="F163" s="4"/>
      <x:c r="G163" s="4"/>
      <x:c r="H163" s="4"/>
      <x:c r="I163" s="4"/>
      <x:c r="J163" s="4"/>
      <x:c r="K163" s="4"/>
      <x:c r="L163" s="3" t="str">
        <x:f>IF(AND(E163="완료",F163="완료",G163="완료",H163="완료"),"완료","확인필요")</x:f>
        <x:v>확인필요</x:v>
      </x:c>
      <x:c r="M163" s="4"/>
      <x:c r="N163" s="4"/>
    </x:row>
    <x:row r="164" spans="1:14">
      <x:c r="A164" s="3">
        <x:f>'1_참가선수입력'!A164</x:f>
        <x:v>161</x:v>
      </x:c>
      <x:c r="B164" s="3">
        <x:f>'1_참가선수입력'!E164</x:f>
        <x:v>0</x:v>
      </x:c>
      <x:c r="C164" s="3">
        <x:f>'1_참가선수입력'!C164</x:f>
        <x:v>0</x:v>
      </x:c>
      <x:c r="D164" s="3">
        <x:f>'1_참가선수입력'!D164</x:f>
        <x:v>0</x:v>
      </x:c>
      <x:c r="E164" s="4"/>
      <x:c r="F164" s="4"/>
      <x:c r="G164" s="4"/>
      <x:c r="H164" s="4"/>
      <x:c r="I164" s="4"/>
      <x:c r="J164" s="4"/>
      <x:c r="K164" s="4"/>
      <x:c r="L164" s="3" t="str">
        <x:f>IF(AND(E164="완료",F164="완료",G164="완료",H164="완료"),"완료","확인필요")</x:f>
        <x:v>확인필요</x:v>
      </x:c>
      <x:c r="M164" s="4"/>
      <x:c r="N164" s="4"/>
    </x:row>
    <x:row r="165" spans="1:14">
      <x:c r="A165" s="3">
        <x:f>'1_참가선수입력'!A165</x:f>
        <x:v>162</x:v>
      </x:c>
      <x:c r="B165" s="3">
        <x:f>'1_참가선수입력'!E165</x:f>
        <x:v>0</x:v>
      </x:c>
      <x:c r="C165" s="3">
        <x:f>'1_참가선수입력'!C165</x:f>
        <x:v>0</x:v>
      </x:c>
      <x:c r="D165" s="3">
        <x:f>'1_참가선수입력'!D165</x:f>
        <x:v>0</x:v>
      </x:c>
      <x:c r="E165" s="4"/>
      <x:c r="F165" s="4"/>
      <x:c r="G165" s="4"/>
      <x:c r="H165" s="4"/>
      <x:c r="I165" s="4"/>
      <x:c r="J165" s="4"/>
      <x:c r="K165" s="4"/>
      <x:c r="L165" s="3" t="str">
        <x:f>IF(AND(E165="완료",F165="완료",G165="완료",H165="완료"),"완료","확인필요")</x:f>
        <x:v>확인필요</x:v>
      </x:c>
      <x:c r="M165" s="4"/>
      <x:c r="N165" s="4"/>
    </x:row>
    <x:row r="166" spans="1:14">
      <x:c r="A166" s="3">
        <x:f>'1_참가선수입력'!A166</x:f>
        <x:v>163</x:v>
      </x:c>
      <x:c r="B166" s="3">
        <x:f>'1_참가선수입력'!E166</x:f>
        <x:v>0</x:v>
      </x:c>
      <x:c r="C166" s="3">
        <x:f>'1_참가선수입력'!C166</x:f>
        <x:v>0</x:v>
      </x:c>
      <x:c r="D166" s="3">
        <x:f>'1_참가선수입력'!D166</x:f>
        <x:v>0</x:v>
      </x:c>
      <x:c r="E166" s="4"/>
      <x:c r="F166" s="4"/>
      <x:c r="G166" s="4"/>
      <x:c r="H166" s="4"/>
      <x:c r="I166" s="4"/>
      <x:c r="J166" s="4"/>
      <x:c r="K166" s="4"/>
      <x:c r="L166" s="3" t="str">
        <x:f>IF(AND(E166="완료",F166="완료",G166="완료",H166="완료"),"완료","확인필요")</x:f>
        <x:v>확인필요</x:v>
      </x:c>
      <x:c r="M166" s="4"/>
      <x:c r="N166" s="4"/>
    </x:row>
    <x:row r="167" spans="1:14">
      <x:c r="A167" s="3">
        <x:f>'1_참가선수입력'!A167</x:f>
        <x:v>164</x:v>
      </x:c>
      <x:c r="B167" s="3">
        <x:f>'1_참가선수입력'!E167</x:f>
        <x:v>0</x:v>
      </x:c>
      <x:c r="C167" s="3">
        <x:f>'1_참가선수입력'!C167</x:f>
        <x:v>0</x:v>
      </x:c>
      <x:c r="D167" s="3">
        <x:f>'1_참가선수입력'!D167</x:f>
        <x:v>0</x:v>
      </x:c>
      <x:c r="E167" s="4"/>
      <x:c r="F167" s="4"/>
      <x:c r="G167" s="4"/>
      <x:c r="H167" s="4"/>
      <x:c r="I167" s="4"/>
      <x:c r="J167" s="4"/>
      <x:c r="K167" s="4"/>
      <x:c r="L167" s="3" t="str">
        <x:f>IF(AND(E167="완료",F167="완료",G167="완료",H167="완료"),"완료","확인필요")</x:f>
        <x:v>확인필요</x:v>
      </x:c>
      <x:c r="M167" s="4"/>
      <x:c r="N167" s="4"/>
    </x:row>
    <x:row r="168" spans="1:14">
      <x:c r="A168" s="3">
        <x:f>'1_참가선수입력'!A168</x:f>
        <x:v>165</x:v>
      </x:c>
      <x:c r="B168" s="3">
        <x:f>'1_참가선수입력'!E168</x:f>
        <x:v>0</x:v>
      </x:c>
      <x:c r="C168" s="3">
        <x:f>'1_참가선수입력'!C168</x:f>
        <x:v>0</x:v>
      </x:c>
      <x:c r="D168" s="3">
        <x:f>'1_참가선수입력'!D168</x:f>
        <x:v>0</x:v>
      </x:c>
      <x:c r="E168" s="4"/>
      <x:c r="F168" s="4"/>
      <x:c r="G168" s="4"/>
      <x:c r="H168" s="4"/>
      <x:c r="I168" s="4"/>
      <x:c r="J168" s="4"/>
      <x:c r="K168" s="4"/>
      <x:c r="L168" s="3" t="str">
        <x:f>IF(AND(E168="완료",F168="완료",G168="완료",H168="완료"),"완료","확인필요")</x:f>
        <x:v>확인필요</x:v>
      </x:c>
      <x:c r="M168" s="4"/>
      <x:c r="N168" s="4"/>
    </x:row>
    <x:row r="169" spans="1:14">
      <x:c r="A169" s="3">
        <x:f>'1_참가선수입력'!A169</x:f>
        <x:v>166</x:v>
      </x:c>
      <x:c r="B169" s="3">
        <x:f>'1_참가선수입력'!E169</x:f>
        <x:v>0</x:v>
      </x:c>
      <x:c r="C169" s="3">
        <x:f>'1_참가선수입력'!C169</x:f>
        <x:v>0</x:v>
      </x:c>
      <x:c r="D169" s="3">
        <x:f>'1_참가선수입력'!D169</x:f>
        <x:v>0</x:v>
      </x:c>
      <x:c r="E169" s="4"/>
      <x:c r="F169" s="4"/>
      <x:c r="G169" s="4"/>
      <x:c r="H169" s="4"/>
      <x:c r="I169" s="4"/>
      <x:c r="J169" s="4"/>
      <x:c r="K169" s="4"/>
      <x:c r="L169" s="3" t="str">
        <x:f>IF(AND(E169="완료",F169="완료",G169="완료",H169="완료"),"완료","확인필요")</x:f>
        <x:v>확인필요</x:v>
      </x:c>
      <x:c r="M169" s="4"/>
      <x:c r="N169" s="4"/>
    </x:row>
    <x:row r="170" spans="1:14">
      <x:c r="A170" s="3">
        <x:f>'1_참가선수입력'!A170</x:f>
        <x:v>167</x:v>
      </x:c>
      <x:c r="B170" s="3">
        <x:f>'1_참가선수입력'!E170</x:f>
        <x:v>0</x:v>
      </x:c>
      <x:c r="C170" s="3">
        <x:f>'1_참가선수입력'!C170</x:f>
        <x:v>0</x:v>
      </x:c>
      <x:c r="D170" s="3">
        <x:f>'1_참가선수입력'!D170</x:f>
        <x:v>0</x:v>
      </x:c>
      <x:c r="E170" s="4"/>
      <x:c r="F170" s="4"/>
      <x:c r="G170" s="4"/>
      <x:c r="H170" s="4"/>
      <x:c r="I170" s="4"/>
      <x:c r="J170" s="4"/>
      <x:c r="K170" s="4"/>
      <x:c r="L170" s="3" t="str">
        <x:f>IF(AND(E170="완료",F170="완료",G170="완료",H170="완료"),"완료","확인필요")</x:f>
        <x:v>확인필요</x:v>
      </x:c>
      <x:c r="M170" s="4"/>
      <x:c r="N170" s="4"/>
    </x:row>
    <x:row r="171" spans="1:14">
      <x:c r="A171" s="3">
        <x:f>'1_참가선수입력'!A171</x:f>
        <x:v>168</x:v>
      </x:c>
      <x:c r="B171" s="3">
        <x:f>'1_참가선수입력'!E171</x:f>
        <x:v>0</x:v>
      </x:c>
      <x:c r="C171" s="3">
        <x:f>'1_참가선수입력'!C171</x:f>
        <x:v>0</x:v>
      </x:c>
      <x:c r="D171" s="3">
        <x:f>'1_참가선수입력'!D171</x:f>
        <x:v>0</x:v>
      </x:c>
      <x:c r="E171" s="4"/>
      <x:c r="F171" s="4"/>
      <x:c r="G171" s="4"/>
      <x:c r="H171" s="4"/>
      <x:c r="I171" s="4"/>
      <x:c r="J171" s="4"/>
      <x:c r="K171" s="4"/>
      <x:c r="L171" s="3" t="str">
        <x:f>IF(AND(E171="완료",F171="완료",G171="완료",H171="완료"),"완료","확인필요")</x:f>
        <x:v>확인필요</x:v>
      </x:c>
      <x:c r="M171" s="4"/>
      <x:c r="N171" s="4"/>
    </x:row>
    <x:row r="172" spans="1:14">
      <x:c r="A172" s="3">
        <x:f>'1_참가선수입력'!A172</x:f>
        <x:v>169</x:v>
      </x:c>
      <x:c r="B172" s="3">
        <x:f>'1_참가선수입력'!E172</x:f>
        <x:v>0</x:v>
      </x:c>
      <x:c r="C172" s="3">
        <x:f>'1_참가선수입력'!C172</x:f>
        <x:v>0</x:v>
      </x:c>
      <x:c r="D172" s="3">
        <x:f>'1_참가선수입력'!D172</x:f>
        <x:v>0</x:v>
      </x:c>
      <x:c r="E172" s="4"/>
      <x:c r="F172" s="4"/>
      <x:c r="G172" s="4"/>
      <x:c r="H172" s="4"/>
      <x:c r="I172" s="4"/>
      <x:c r="J172" s="4"/>
      <x:c r="K172" s="4"/>
      <x:c r="L172" s="3" t="str">
        <x:f>IF(AND(E172="완료",F172="완료",G172="완료",H172="완료"),"완료","확인필요")</x:f>
        <x:v>확인필요</x:v>
      </x:c>
      <x:c r="M172" s="4"/>
      <x:c r="N172" s="4"/>
    </x:row>
    <x:row r="173" spans="1:14">
      <x:c r="A173" s="3">
        <x:f>'1_참가선수입력'!A173</x:f>
        <x:v>170</x:v>
      </x:c>
      <x:c r="B173" s="3">
        <x:f>'1_참가선수입력'!E173</x:f>
        <x:v>0</x:v>
      </x:c>
      <x:c r="C173" s="3">
        <x:f>'1_참가선수입력'!C173</x:f>
        <x:v>0</x:v>
      </x:c>
      <x:c r="D173" s="3">
        <x:f>'1_참가선수입력'!D173</x:f>
        <x:v>0</x:v>
      </x:c>
      <x:c r="E173" s="4"/>
      <x:c r="F173" s="4"/>
      <x:c r="G173" s="4"/>
      <x:c r="H173" s="4"/>
      <x:c r="I173" s="4"/>
      <x:c r="J173" s="4"/>
      <x:c r="K173" s="4"/>
      <x:c r="L173" s="3" t="str">
        <x:f>IF(AND(E173="완료",F173="완료",G173="완료",H173="완료"),"완료","확인필요")</x:f>
        <x:v>확인필요</x:v>
      </x:c>
      <x:c r="M173" s="4"/>
      <x:c r="N173" s="4"/>
    </x:row>
    <x:row r="174" spans="1:14">
      <x:c r="A174" s="3">
        <x:f>'1_참가선수입력'!A174</x:f>
        <x:v>171</x:v>
      </x:c>
      <x:c r="B174" s="3">
        <x:f>'1_참가선수입력'!E174</x:f>
        <x:v>0</x:v>
      </x:c>
      <x:c r="C174" s="3">
        <x:f>'1_참가선수입력'!C174</x:f>
        <x:v>0</x:v>
      </x:c>
      <x:c r="D174" s="3">
        <x:f>'1_참가선수입력'!D174</x:f>
        <x:v>0</x:v>
      </x:c>
      <x:c r="E174" s="4"/>
      <x:c r="F174" s="4"/>
      <x:c r="G174" s="4"/>
      <x:c r="H174" s="4"/>
      <x:c r="I174" s="4"/>
      <x:c r="J174" s="4"/>
      <x:c r="K174" s="4"/>
      <x:c r="L174" s="3" t="str">
        <x:f>IF(AND(E174="완료",F174="완료",G174="완료",H174="완료"),"완료","확인필요")</x:f>
        <x:v>확인필요</x:v>
      </x:c>
      <x:c r="M174" s="4"/>
      <x:c r="N174" s="4"/>
    </x:row>
    <x:row r="175" spans="1:14">
      <x:c r="A175" s="3">
        <x:f>'1_참가선수입력'!A175</x:f>
        <x:v>172</x:v>
      </x:c>
      <x:c r="B175" s="3">
        <x:f>'1_참가선수입력'!E175</x:f>
        <x:v>0</x:v>
      </x:c>
      <x:c r="C175" s="3">
        <x:f>'1_참가선수입력'!C175</x:f>
        <x:v>0</x:v>
      </x:c>
      <x:c r="D175" s="3">
        <x:f>'1_참가선수입력'!D175</x:f>
        <x:v>0</x:v>
      </x:c>
      <x:c r="E175" s="4"/>
      <x:c r="F175" s="4"/>
      <x:c r="G175" s="4"/>
      <x:c r="H175" s="4"/>
      <x:c r="I175" s="4"/>
      <x:c r="J175" s="4"/>
      <x:c r="K175" s="4"/>
      <x:c r="L175" s="3" t="str">
        <x:f>IF(AND(E175="완료",F175="완료",G175="완료",H175="완료"),"완료","확인필요")</x:f>
        <x:v>확인필요</x:v>
      </x:c>
      <x:c r="M175" s="4"/>
      <x:c r="N175" s="4"/>
    </x:row>
    <x:row r="176" spans="1:14">
      <x:c r="A176" s="3">
        <x:f>'1_참가선수입력'!A176</x:f>
        <x:v>173</x:v>
      </x:c>
      <x:c r="B176" s="3">
        <x:f>'1_참가선수입력'!E176</x:f>
        <x:v>0</x:v>
      </x:c>
      <x:c r="C176" s="3">
        <x:f>'1_참가선수입력'!C176</x:f>
        <x:v>0</x:v>
      </x:c>
      <x:c r="D176" s="3">
        <x:f>'1_참가선수입력'!D176</x:f>
        <x:v>0</x:v>
      </x:c>
      <x:c r="E176" s="4"/>
      <x:c r="F176" s="4"/>
      <x:c r="G176" s="4"/>
      <x:c r="H176" s="4"/>
      <x:c r="I176" s="4"/>
      <x:c r="J176" s="4"/>
      <x:c r="K176" s="4"/>
      <x:c r="L176" s="3" t="str">
        <x:f>IF(AND(E176="완료",F176="완료",G176="완료",H176="완료"),"완료","확인필요")</x:f>
        <x:v>확인필요</x:v>
      </x:c>
      <x:c r="M176" s="4"/>
      <x:c r="N176" s="4"/>
    </x:row>
    <x:row r="177" spans="1:14">
      <x:c r="A177" s="3">
        <x:f>'1_참가선수입력'!A177</x:f>
        <x:v>174</x:v>
      </x:c>
      <x:c r="B177" s="3">
        <x:f>'1_참가선수입력'!E177</x:f>
        <x:v>0</x:v>
      </x:c>
      <x:c r="C177" s="3">
        <x:f>'1_참가선수입력'!C177</x:f>
        <x:v>0</x:v>
      </x:c>
      <x:c r="D177" s="3">
        <x:f>'1_참가선수입력'!D177</x:f>
        <x:v>0</x:v>
      </x:c>
      <x:c r="E177" s="4"/>
      <x:c r="F177" s="4"/>
      <x:c r="G177" s="4"/>
      <x:c r="H177" s="4"/>
      <x:c r="I177" s="4"/>
      <x:c r="J177" s="4"/>
      <x:c r="K177" s="4"/>
      <x:c r="L177" s="3" t="str">
        <x:f>IF(AND(E177="완료",F177="완료",G177="완료",H177="완료"),"완료","확인필요")</x:f>
        <x:v>확인필요</x:v>
      </x:c>
      <x:c r="M177" s="4"/>
      <x:c r="N177" s="4"/>
    </x:row>
    <x:row r="178" spans="1:14">
      <x:c r="A178" s="3">
        <x:f>'1_참가선수입력'!A178</x:f>
        <x:v>175</x:v>
      </x:c>
      <x:c r="B178" s="3">
        <x:f>'1_참가선수입력'!E178</x:f>
        <x:v>0</x:v>
      </x:c>
      <x:c r="C178" s="3">
        <x:f>'1_참가선수입력'!C178</x:f>
        <x:v>0</x:v>
      </x:c>
      <x:c r="D178" s="3">
        <x:f>'1_참가선수입력'!D178</x:f>
        <x:v>0</x:v>
      </x:c>
      <x:c r="E178" s="4"/>
      <x:c r="F178" s="4"/>
      <x:c r="G178" s="4"/>
      <x:c r="H178" s="4"/>
      <x:c r="I178" s="4"/>
      <x:c r="J178" s="4"/>
      <x:c r="K178" s="4"/>
      <x:c r="L178" s="3" t="str">
        <x:f>IF(AND(E178="완료",F178="완료",G178="완료",H178="완료"),"완료","확인필요")</x:f>
        <x:v>확인필요</x:v>
      </x:c>
      <x:c r="M178" s="4"/>
      <x:c r="N178" s="4"/>
    </x:row>
    <x:row r="179" spans="1:14">
      <x:c r="A179" s="3">
        <x:f>'1_참가선수입력'!A179</x:f>
        <x:v>176</x:v>
      </x:c>
      <x:c r="B179" s="3">
        <x:f>'1_참가선수입력'!E179</x:f>
        <x:v>0</x:v>
      </x:c>
      <x:c r="C179" s="3">
        <x:f>'1_참가선수입력'!C179</x:f>
        <x:v>0</x:v>
      </x:c>
      <x:c r="D179" s="3">
        <x:f>'1_참가선수입력'!D179</x:f>
        <x:v>0</x:v>
      </x:c>
      <x:c r="E179" s="4"/>
      <x:c r="F179" s="4"/>
      <x:c r="G179" s="4"/>
      <x:c r="H179" s="4"/>
      <x:c r="I179" s="4"/>
      <x:c r="J179" s="4"/>
      <x:c r="K179" s="4"/>
      <x:c r="L179" s="3" t="str">
        <x:f>IF(AND(E179="완료",F179="완료",G179="완료",H179="완료"),"완료","확인필요")</x:f>
        <x:v>확인필요</x:v>
      </x:c>
      <x:c r="M179" s="4"/>
      <x:c r="N179" s="4"/>
    </x:row>
    <x:row r="180" spans="1:14">
      <x:c r="A180" s="3">
        <x:f>'1_참가선수입력'!A180</x:f>
        <x:v>177</x:v>
      </x:c>
      <x:c r="B180" s="3">
        <x:f>'1_참가선수입력'!E180</x:f>
        <x:v>0</x:v>
      </x:c>
      <x:c r="C180" s="3">
        <x:f>'1_참가선수입력'!C180</x:f>
        <x:v>0</x:v>
      </x:c>
      <x:c r="D180" s="3">
        <x:f>'1_참가선수입력'!D180</x:f>
        <x:v>0</x:v>
      </x:c>
      <x:c r="E180" s="4"/>
      <x:c r="F180" s="4"/>
      <x:c r="G180" s="4"/>
      <x:c r="H180" s="4"/>
      <x:c r="I180" s="4"/>
      <x:c r="J180" s="4"/>
      <x:c r="K180" s="4"/>
      <x:c r="L180" s="3" t="str">
        <x:f>IF(AND(E180="완료",F180="완료",G180="완료",H180="완료"),"완료","확인필요")</x:f>
        <x:v>확인필요</x:v>
      </x:c>
      <x:c r="M180" s="4"/>
      <x:c r="N180" s="4"/>
    </x:row>
    <x:row r="181" spans="1:14">
      <x:c r="A181" s="3">
        <x:f>'1_참가선수입력'!A181</x:f>
        <x:v>178</x:v>
      </x:c>
      <x:c r="B181" s="3">
        <x:f>'1_참가선수입력'!E181</x:f>
        <x:v>0</x:v>
      </x:c>
      <x:c r="C181" s="3">
        <x:f>'1_참가선수입력'!C181</x:f>
        <x:v>0</x:v>
      </x:c>
      <x:c r="D181" s="3">
        <x:f>'1_참가선수입력'!D181</x:f>
        <x:v>0</x:v>
      </x:c>
      <x:c r="E181" s="4"/>
      <x:c r="F181" s="4"/>
      <x:c r="G181" s="4"/>
      <x:c r="H181" s="4"/>
      <x:c r="I181" s="4"/>
      <x:c r="J181" s="4"/>
      <x:c r="K181" s="4"/>
      <x:c r="L181" s="3" t="str">
        <x:f>IF(AND(E181="완료",F181="완료",G181="완료",H181="완료"),"완료","확인필요")</x:f>
        <x:v>확인필요</x:v>
      </x:c>
      <x:c r="M181" s="4"/>
      <x:c r="N181" s="4"/>
    </x:row>
    <x:row r="182" spans="1:14">
      <x:c r="A182" s="3">
        <x:f>'1_참가선수입력'!A182</x:f>
        <x:v>179</x:v>
      </x:c>
      <x:c r="B182" s="3">
        <x:f>'1_참가선수입력'!E182</x:f>
        <x:v>0</x:v>
      </x:c>
      <x:c r="C182" s="3">
        <x:f>'1_참가선수입력'!C182</x:f>
        <x:v>0</x:v>
      </x:c>
      <x:c r="D182" s="3">
        <x:f>'1_참가선수입력'!D182</x:f>
        <x:v>0</x:v>
      </x:c>
      <x:c r="E182" s="4"/>
      <x:c r="F182" s="4"/>
      <x:c r="G182" s="4"/>
      <x:c r="H182" s="4"/>
      <x:c r="I182" s="4"/>
      <x:c r="J182" s="4"/>
      <x:c r="K182" s="4"/>
      <x:c r="L182" s="3" t="str">
        <x:f>IF(AND(E182="완료",F182="완료",G182="완료",H182="완료"),"완료","확인필요")</x:f>
        <x:v>확인필요</x:v>
      </x:c>
      <x:c r="M182" s="4"/>
      <x:c r="N182" s="4"/>
    </x:row>
    <x:row r="183" spans="1:14">
      <x:c r="A183" s="3">
        <x:f>'1_참가선수입력'!A183</x:f>
        <x:v>180</x:v>
      </x:c>
      <x:c r="B183" s="3">
        <x:f>'1_참가선수입력'!E183</x:f>
        <x:v>0</x:v>
      </x:c>
      <x:c r="C183" s="3">
        <x:f>'1_참가선수입력'!C183</x:f>
        <x:v>0</x:v>
      </x:c>
      <x:c r="D183" s="3">
        <x:f>'1_참가선수입력'!D183</x:f>
        <x:v>0</x:v>
      </x:c>
      <x:c r="E183" s="4"/>
      <x:c r="F183" s="4"/>
      <x:c r="G183" s="4"/>
      <x:c r="H183" s="4"/>
      <x:c r="I183" s="4"/>
      <x:c r="J183" s="4"/>
      <x:c r="K183" s="4"/>
      <x:c r="L183" s="3" t="str">
        <x:f>IF(AND(E183="완료",F183="완료",G183="완료",H183="완료"),"완료","확인필요")</x:f>
        <x:v>확인필요</x:v>
      </x:c>
      <x:c r="M183" s="4"/>
      <x:c r="N183" s="4"/>
    </x:row>
    <x:row r="184" spans="1:14">
      <x:c r="A184" s="3">
        <x:f>'1_참가선수입력'!A184</x:f>
        <x:v>181</x:v>
      </x:c>
      <x:c r="B184" s="3">
        <x:f>'1_참가선수입력'!E184</x:f>
        <x:v>0</x:v>
      </x:c>
      <x:c r="C184" s="3">
        <x:f>'1_참가선수입력'!C184</x:f>
        <x:v>0</x:v>
      </x:c>
      <x:c r="D184" s="3">
        <x:f>'1_참가선수입력'!D184</x:f>
        <x:v>0</x:v>
      </x:c>
      <x:c r="E184" s="4"/>
      <x:c r="F184" s="4"/>
      <x:c r="G184" s="4"/>
      <x:c r="H184" s="4"/>
      <x:c r="I184" s="4"/>
      <x:c r="J184" s="4"/>
      <x:c r="K184" s="4"/>
      <x:c r="L184" s="3" t="str">
        <x:f>IF(AND(E184="완료",F184="완료",G184="완료",H184="완료"),"완료","확인필요")</x:f>
        <x:v>확인필요</x:v>
      </x:c>
      <x:c r="M184" s="4"/>
      <x:c r="N184" s="4"/>
    </x:row>
    <x:row r="185" spans="1:14">
      <x:c r="A185" s="3">
        <x:f>'1_참가선수입력'!A185</x:f>
        <x:v>182</x:v>
      </x:c>
      <x:c r="B185" s="3">
        <x:f>'1_참가선수입력'!E185</x:f>
        <x:v>0</x:v>
      </x:c>
      <x:c r="C185" s="3">
        <x:f>'1_참가선수입력'!C185</x:f>
        <x:v>0</x:v>
      </x:c>
      <x:c r="D185" s="3">
        <x:f>'1_참가선수입력'!D185</x:f>
        <x:v>0</x:v>
      </x:c>
      <x:c r="E185" s="4"/>
      <x:c r="F185" s="4"/>
      <x:c r="G185" s="4"/>
      <x:c r="H185" s="4"/>
      <x:c r="I185" s="4"/>
      <x:c r="J185" s="4"/>
      <x:c r="K185" s="4"/>
      <x:c r="L185" s="3" t="str">
        <x:f>IF(AND(E185="완료",F185="완료",G185="완료",H185="완료"),"완료","확인필요")</x:f>
        <x:v>확인필요</x:v>
      </x:c>
      <x:c r="M185" s="4"/>
      <x:c r="N185" s="4"/>
    </x:row>
    <x:row r="186" spans="1:14">
      <x:c r="A186" s="3">
        <x:f>'1_참가선수입력'!A186</x:f>
        <x:v>183</x:v>
      </x:c>
      <x:c r="B186" s="3">
        <x:f>'1_참가선수입력'!E186</x:f>
        <x:v>0</x:v>
      </x:c>
      <x:c r="C186" s="3">
        <x:f>'1_참가선수입력'!C186</x:f>
        <x:v>0</x:v>
      </x:c>
      <x:c r="D186" s="3">
        <x:f>'1_참가선수입력'!D186</x:f>
        <x:v>0</x:v>
      </x:c>
      <x:c r="E186" s="4"/>
      <x:c r="F186" s="4"/>
      <x:c r="G186" s="4"/>
      <x:c r="H186" s="4"/>
      <x:c r="I186" s="4"/>
      <x:c r="J186" s="4"/>
      <x:c r="K186" s="4"/>
      <x:c r="L186" s="3" t="str">
        <x:f>IF(AND(E186="완료",F186="완료",G186="완료",H186="완료"),"완료","확인필요")</x:f>
        <x:v>확인필요</x:v>
      </x:c>
      <x:c r="M186" s="4"/>
      <x:c r="N186" s="4"/>
    </x:row>
    <x:row r="187" spans="1:14">
      <x:c r="A187" s="3">
        <x:f>'1_참가선수입력'!A187</x:f>
        <x:v>184</x:v>
      </x:c>
      <x:c r="B187" s="3">
        <x:f>'1_참가선수입력'!E187</x:f>
        <x:v>0</x:v>
      </x:c>
      <x:c r="C187" s="3">
        <x:f>'1_참가선수입력'!C187</x:f>
        <x:v>0</x:v>
      </x:c>
      <x:c r="D187" s="3">
        <x:f>'1_참가선수입력'!D187</x:f>
        <x:v>0</x:v>
      </x:c>
      <x:c r="E187" s="4"/>
      <x:c r="F187" s="4"/>
      <x:c r="G187" s="4"/>
      <x:c r="H187" s="4"/>
      <x:c r="I187" s="4"/>
      <x:c r="J187" s="4"/>
      <x:c r="K187" s="4"/>
      <x:c r="L187" s="3" t="str">
        <x:f>IF(AND(E187="완료",F187="완료",G187="완료",H187="완료"),"완료","확인필요")</x:f>
        <x:v>확인필요</x:v>
      </x:c>
      <x:c r="M187" s="4"/>
      <x:c r="N187" s="4"/>
    </x:row>
    <x:row r="188" spans="1:14">
      <x:c r="A188" s="3">
        <x:f>'1_참가선수입력'!A188</x:f>
        <x:v>185</x:v>
      </x:c>
      <x:c r="B188" s="3">
        <x:f>'1_참가선수입력'!E188</x:f>
        <x:v>0</x:v>
      </x:c>
      <x:c r="C188" s="3">
        <x:f>'1_참가선수입력'!C188</x:f>
        <x:v>0</x:v>
      </x:c>
      <x:c r="D188" s="3">
        <x:f>'1_참가선수입력'!D188</x:f>
        <x:v>0</x:v>
      </x:c>
      <x:c r="E188" s="4"/>
      <x:c r="F188" s="4"/>
      <x:c r="G188" s="4"/>
      <x:c r="H188" s="4"/>
      <x:c r="I188" s="4"/>
      <x:c r="J188" s="4"/>
      <x:c r="K188" s="4"/>
      <x:c r="L188" s="3" t="str">
        <x:f>IF(AND(E188="완료",F188="완료",G188="완료",H188="완료"),"완료","확인필요")</x:f>
        <x:v>확인필요</x:v>
      </x:c>
      <x:c r="M188" s="4"/>
      <x:c r="N188" s="4"/>
    </x:row>
    <x:row r="189" spans="1:14">
      <x:c r="A189" s="3">
        <x:f>'1_참가선수입력'!A189</x:f>
        <x:v>186</x:v>
      </x:c>
      <x:c r="B189" s="3">
        <x:f>'1_참가선수입력'!E189</x:f>
        <x:v>0</x:v>
      </x:c>
      <x:c r="C189" s="3">
        <x:f>'1_참가선수입력'!C189</x:f>
        <x:v>0</x:v>
      </x:c>
      <x:c r="D189" s="3">
        <x:f>'1_참가선수입력'!D189</x:f>
        <x:v>0</x:v>
      </x:c>
      <x:c r="E189" s="4"/>
      <x:c r="F189" s="4"/>
      <x:c r="G189" s="4"/>
      <x:c r="H189" s="4"/>
      <x:c r="I189" s="4"/>
      <x:c r="J189" s="4"/>
      <x:c r="K189" s="4"/>
      <x:c r="L189" s="3" t="str">
        <x:f>IF(AND(E189="완료",F189="완료",G189="완료",H189="완료"),"완료","확인필요")</x:f>
        <x:v>확인필요</x:v>
      </x:c>
      <x:c r="M189" s="4"/>
      <x:c r="N189" s="4"/>
    </x:row>
    <x:row r="190" spans="1:14">
      <x:c r="A190" s="3">
        <x:f>'1_참가선수입력'!A190</x:f>
        <x:v>187</x:v>
      </x:c>
      <x:c r="B190" s="3">
        <x:f>'1_참가선수입력'!E190</x:f>
        <x:v>0</x:v>
      </x:c>
      <x:c r="C190" s="3">
        <x:f>'1_참가선수입력'!C190</x:f>
        <x:v>0</x:v>
      </x:c>
      <x:c r="D190" s="3">
        <x:f>'1_참가선수입력'!D190</x:f>
        <x:v>0</x:v>
      </x:c>
      <x:c r="E190" s="4"/>
      <x:c r="F190" s="4"/>
      <x:c r="G190" s="4"/>
      <x:c r="H190" s="4"/>
      <x:c r="I190" s="4"/>
      <x:c r="J190" s="4"/>
      <x:c r="K190" s="4"/>
      <x:c r="L190" s="3" t="str">
        <x:f>IF(AND(E190="완료",F190="완료",G190="완료",H190="완료"),"완료","확인필요")</x:f>
        <x:v>확인필요</x:v>
      </x:c>
      <x:c r="M190" s="4"/>
      <x:c r="N190" s="4"/>
    </x:row>
    <x:row r="191" spans="1:14">
      <x:c r="A191" s="3">
        <x:f>'1_참가선수입력'!A191</x:f>
        <x:v>188</x:v>
      </x:c>
      <x:c r="B191" s="3">
        <x:f>'1_참가선수입력'!E191</x:f>
        <x:v>0</x:v>
      </x:c>
      <x:c r="C191" s="3">
        <x:f>'1_참가선수입력'!C191</x:f>
        <x:v>0</x:v>
      </x:c>
      <x:c r="D191" s="3">
        <x:f>'1_참가선수입력'!D191</x:f>
        <x:v>0</x:v>
      </x:c>
      <x:c r="E191" s="4"/>
      <x:c r="F191" s="4"/>
      <x:c r="G191" s="4"/>
      <x:c r="H191" s="4"/>
      <x:c r="I191" s="4"/>
      <x:c r="J191" s="4"/>
      <x:c r="K191" s="4"/>
      <x:c r="L191" s="3" t="str">
        <x:f>IF(AND(E191="완료",F191="완료",G191="완료",H191="완료"),"완료","확인필요")</x:f>
        <x:v>확인필요</x:v>
      </x:c>
      <x:c r="M191" s="4"/>
      <x:c r="N191" s="4"/>
    </x:row>
    <x:row r="192" spans="1:14">
      <x:c r="A192" s="3">
        <x:f>'1_참가선수입력'!A192</x:f>
        <x:v>189</x:v>
      </x:c>
      <x:c r="B192" s="3">
        <x:f>'1_참가선수입력'!E192</x:f>
        <x:v>0</x:v>
      </x:c>
      <x:c r="C192" s="3">
        <x:f>'1_참가선수입력'!C192</x:f>
        <x:v>0</x:v>
      </x:c>
      <x:c r="D192" s="3">
        <x:f>'1_참가선수입력'!D192</x:f>
        <x:v>0</x:v>
      </x:c>
      <x:c r="E192" s="4"/>
      <x:c r="F192" s="4"/>
      <x:c r="G192" s="4"/>
      <x:c r="H192" s="4"/>
      <x:c r="I192" s="4"/>
      <x:c r="J192" s="4"/>
      <x:c r="K192" s="4"/>
      <x:c r="L192" s="3" t="str">
        <x:f>IF(AND(E192="완료",F192="완료",G192="완료",H192="완료"),"완료","확인필요")</x:f>
        <x:v>확인필요</x:v>
      </x:c>
      <x:c r="M192" s="4"/>
      <x:c r="N192" s="4"/>
    </x:row>
    <x:row r="193" spans="1:14">
      <x:c r="A193" s="3">
        <x:f>'1_참가선수입력'!A193</x:f>
        <x:v>190</x:v>
      </x:c>
      <x:c r="B193" s="3">
        <x:f>'1_참가선수입력'!E193</x:f>
        <x:v>0</x:v>
      </x:c>
      <x:c r="C193" s="3">
        <x:f>'1_참가선수입력'!C193</x:f>
        <x:v>0</x:v>
      </x:c>
      <x:c r="D193" s="3">
        <x:f>'1_참가선수입력'!D193</x:f>
        <x:v>0</x:v>
      </x:c>
      <x:c r="E193" s="4"/>
      <x:c r="F193" s="4"/>
      <x:c r="G193" s="4"/>
      <x:c r="H193" s="4"/>
      <x:c r="I193" s="4"/>
      <x:c r="J193" s="4"/>
      <x:c r="K193" s="4"/>
      <x:c r="L193" s="3" t="str">
        <x:f>IF(AND(E193="완료",F193="완료",G193="완료",H193="완료"),"완료","확인필요")</x:f>
        <x:v>확인필요</x:v>
      </x:c>
      <x:c r="M193" s="4"/>
      <x:c r="N193" s="4"/>
    </x:row>
    <x:row r="194" spans="1:14">
      <x:c r="A194" s="3">
        <x:f>'1_참가선수입력'!A194</x:f>
        <x:v>191</x:v>
      </x:c>
      <x:c r="B194" s="3">
        <x:f>'1_참가선수입력'!E194</x:f>
        <x:v>0</x:v>
      </x:c>
      <x:c r="C194" s="3">
        <x:f>'1_참가선수입력'!C194</x:f>
        <x:v>0</x:v>
      </x:c>
      <x:c r="D194" s="3">
        <x:f>'1_참가선수입력'!D194</x:f>
        <x:v>0</x:v>
      </x:c>
      <x:c r="E194" s="4"/>
      <x:c r="F194" s="4"/>
      <x:c r="G194" s="4"/>
      <x:c r="H194" s="4"/>
      <x:c r="I194" s="4"/>
      <x:c r="J194" s="4"/>
      <x:c r="K194" s="4"/>
      <x:c r="L194" s="3" t="str">
        <x:f>IF(AND(E194="완료",F194="완료",G194="완료",H194="완료"),"완료","확인필요")</x:f>
        <x:v>확인필요</x:v>
      </x:c>
      <x:c r="M194" s="4"/>
      <x:c r="N194" s="4"/>
    </x:row>
    <x:row r="195" spans="1:14">
      <x:c r="A195" s="3">
        <x:f>'1_참가선수입력'!A195</x:f>
        <x:v>192</x:v>
      </x:c>
      <x:c r="B195" s="3">
        <x:f>'1_참가선수입력'!E195</x:f>
        <x:v>0</x:v>
      </x:c>
      <x:c r="C195" s="3">
        <x:f>'1_참가선수입력'!C195</x:f>
        <x:v>0</x:v>
      </x:c>
      <x:c r="D195" s="3">
        <x:f>'1_참가선수입력'!D195</x:f>
        <x:v>0</x:v>
      </x:c>
      <x:c r="E195" s="4"/>
      <x:c r="F195" s="4"/>
      <x:c r="G195" s="4"/>
      <x:c r="H195" s="4"/>
      <x:c r="I195" s="4"/>
      <x:c r="J195" s="4"/>
      <x:c r="K195" s="4"/>
      <x:c r="L195" s="3" t="str">
        <x:f>IF(AND(E195="완료",F195="완료",G195="완료",H195="완료"),"완료","확인필요")</x:f>
        <x:v>확인필요</x:v>
      </x:c>
      <x:c r="M195" s="4"/>
      <x:c r="N195" s="4"/>
    </x:row>
    <x:row r="196" spans="1:14">
      <x:c r="A196" s="3">
        <x:f>'1_참가선수입력'!A196</x:f>
        <x:v>193</x:v>
      </x:c>
      <x:c r="B196" s="3">
        <x:f>'1_참가선수입력'!E196</x:f>
        <x:v>0</x:v>
      </x:c>
      <x:c r="C196" s="3">
        <x:f>'1_참가선수입력'!C196</x:f>
        <x:v>0</x:v>
      </x:c>
      <x:c r="D196" s="3">
        <x:f>'1_참가선수입력'!D196</x:f>
        <x:v>0</x:v>
      </x:c>
      <x:c r="E196" s="4"/>
      <x:c r="F196" s="4"/>
      <x:c r="G196" s="4"/>
      <x:c r="H196" s="4"/>
      <x:c r="I196" s="4"/>
      <x:c r="J196" s="4"/>
      <x:c r="K196" s="4"/>
      <x:c r="L196" s="3" t="str">
        <x:f>IF(AND(E196="완료",F196="완료",G196="완료",H196="완료"),"완료","확인필요")</x:f>
        <x:v>확인필요</x:v>
      </x:c>
      <x:c r="M196" s="4"/>
      <x:c r="N196" s="4"/>
    </x:row>
    <x:row r="197" spans="1:14">
      <x:c r="A197" s="3">
        <x:f>'1_참가선수입력'!A197</x:f>
        <x:v>194</x:v>
      </x:c>
      <x:c r="B197" s="3">
        <x:f>'1_참가선수입력'!E197</x:f>
        <x:v>0</x:v>
      </x:c>
      <x:c r="C197" s="3">
        <x:f>'1_참가선수입력'!C197</x:f>
        <x:v>0</x:v>
      </x:c>
      <x:c r="D197" s="3">
        <x:f>'1_참가선수입력'!D197</x:f>
        <x:v>0</x:v>
      </x:c>
      <x:c r="E197" s="4"/>
      <x:c r="F197" s="4"/>
      <x:c r="G197" s="4"/>
      <x:c r="H197" s="4"/>
      <x:c r="I197" s="4"/>
      <x:c r="J197" s="4"/>
      <x:c r="K197" s="4"/>
      <x:c r="L197" s="3" t="str">
        <x:f>IF(AND(E197="완료",F197="완료",G197="완료",H197="완료"),"완료","확인필요")</x:f>
        <x:v>확인필요</x:v>
      </x:c>
      <x:c r="M197" s="4"/>
      <x:c r="N197" s="4"/>
    </x:row>
    <x:row r="198" spans="1:14">
      <x:c r="A198" s="3">
        <x:f>'1_참가선수입력'!A198</x:f>
        <x:v>195</x:v>
      </x:c>
      <x:c r="B198" s="3">
        <x:f>'1_참가선수입력'!E198</x:f>
        <x:v>0</x:v>
      </x:c>
      <x:c r="C198" s="3">
        <x:f>'1_참가선수입력'!C198</x:f>
        <x:v>0</x:v>
      </x:c>
      <x:c r="D198" s="3">
        <x:f>'1_참가선수입력'!D198</x:f>
        <x:v>0</x:v>
      </x:c>
      <x:c r="E198" s="4"/>
      <x:c r="F198" s="4"/>
      <x:c r="G198" s="4"/>
      <x:c r="H198" s="4"/>
      <x:c r="I198" s="4"/>
      <x:c r="J198" s="4"/>
      <x:c r="K198" s="4"/>
      <x:c r="L198" s="3" t="str">
        <x:f>IF(AND(E198="완료",F198="완료",G198="완료",H198="완료"),"완료","확인필요")</x:f>
        <x:v>확인필요</x:v>
      </x:c>
      <x:c r="M198" s="4"/>
      <x:c r="N198" s="4"/>
    </x:row>
    <x:row r="199" spans="1:14">
      <x:c r="A199" s="3">
        <x:f>'1_참가선수입력'!A199</x:f>
        <x:v>196</x:v>
      </x:c>
      <x:c r="B199" s="3">
        <x:f>'1_참가선수입력'!E199</x:f>
        <x:v>0</x:v>
      </x:c>
      <x:c r="C199" s="3">
        <x:f>'1_참가선수입력'!C199</x:f>
        <x:v>0</x:v>
      </x:c>
      <x:c r="D199" s="3">
        <x:f>'1_참가선수입력'!D199</x:f>
        <x:v>0</x:v>
      </x:c>
      <x:c r="E199" s="4"/>
      <x:c r="F199" s="4"/>
      <x:c r="G199" s="4"/>
      <x:c r="H199" s="4"/>
      <x:c r="I199" s="4"/>
      <x:c r="J199" s="4"/>
      <x:c r="K199" s="4"/>
      <x:c r="L199" s="3" t="str">
        <x:f>IF(AND(E199="완료",F199="완료",G199="완료",H199="완료"),"완료","확인필요")</x:f>
        <x:v>확인필요</x:v>
      </x:c>
      <x:c r="M199" s="4"/>
      <x:c r="N199" s="4"/>
    </x:row>
    <x:row r="200" spans="1:14">
      <x:c r="A200" s="3">
        <x:f>'1_참가선수입력'!A200</x:f>
        <x:v>197</x:v>
      </x:c>
      <x:c r="B200" s="3">
        <x:f>'1_참가선수입력'!E200</x:f>
        <x:v>0</x:v>
      </x:c>
      <x:c r="C200" s="3">
        <x:f>'1_참가선수입력'!C200</x:f>
        <x:v>0</x:v>
      </x:c>
      <x:c r="D200" s="3">
        <x:f>'1_참가선수입력'!D200</x:f>
        <x:v>0</x:v>
      </x:c>
      <x:c r="E200" s="4"/>
      <x:c r="F200" s="4"/>
      <x:c r="G200" s="4"/>
      <x:c r="H200" s="4"/>
      <x:c r="I200" s="4"/>
      <x:c r="J200" s="4"/>
      <x:c r="K200" s="4"/>
      <x:c r="L200" s="3" t="str">
        <x:f>IF(AND(E200="완료",F200="완료",G200="완료",H200="완료"),"완료","확인필요")</x:f>
        <x:v>확인필요</x:v>
      </x:c>
      <x:c r="M200" s="4"/>
      <x:c r="N200" s="4"/>
    </x:row>
    <x:row r="201" spans="1:14">
      <x:c r="A201" s="3">
        <x:f>'1_참가선수입력'!A201</x:f>
        <x:v>198</x:v>
      </x:c>
      <x:c r="B201" s="3">
        <x:f>'1_참가선수입력'!E201</x:f>
        <x:v>0</x:v>
      </x:c>
      <x:c r="C201" s="3">
        <x:f>'1_참가선수입력'!C201</x:f>
        <x:v>0</x:v>
      </x:c>
      <x:c r="D201" s="3">
        <x:f>'1_참가선수입력'!D201</x:f>
        <x:v>0</x:v>
      </x:c>
      <x:c r="E201" s="4"/>
      <x:c r="F201" s="4"/>
      <x:c r="G201" s="4"/>
      <x:c r="H201" s="4"/>
      <x:c r="I201" s="4"/>
      <x:c r="J201" s="4"/>
      <x:c r="K201" s="4"/>
      <x:c r="L201" s="3" t="str">
        <x:f>IF(AND(E201="완료",F201="완료",G201="완료",H201="완료"),"완료","확인필요")</x:f>
        <x:v>확인필요</x:v>
      </x:c>
      <x:c r="M201" s="4"/>
      <x:c r="N201" s="4"/>
    </x:row>
    <x:row r="202" spans="1:14">
      <x:c r="A202" s="3">
        <x:f>'1_참가선수입력'!A202</x:f>
        <x:v>199</x:v>
      </x:c>
      <x:c r="B202" s="3">
        <x:f>'1_참가선수입력'!E202</x:f>
        <x:v>0</x:v>
      </x:c>
      <x:c r="C202" s="3">
        <x:f>'1_참가선수입력'!C202</x:f>
        <x:v>0</x:v>
      </x:c>
      <x:c r="D202" s="3">
        <x:f>'1_참가선수입력'!D202</x:f>
        <x:v>0</x:v>
      </x:c>
      <x:c r="E202" s="4"/>
      <x:c r="F202" s="4"/>
      <x:c r="G202" s="4"/>
      <x:c r="H202" s="4"/>
      <x:c r="I202" s="4"/>
      <x:c r="J202" s="4"/>
      <x:c r="K202" s="4"/>
      <x:c r="L202" s="3" t="str">
        <x:f>IF(AND(E202="완료",F202="완료",G202="완료",H202="완료"),"완료","확인필요")</x:f>
        <x:v>확인필요</x:v>
      </x:c>
      <x:c r="M202" s="4"/>
      <x:c r="N202" s="4"/>
    </x:row>
    <x:row r="203" spans="1:14">
      <x:c r="A203" s="3">
        <x:f>'1_참가선수입력'!A203</x:f>
        <x:v>200</x:v>
      </x:c>
      <x:c r="B203" s="3">
        <x:f>'1_참가선수입력'!E203</x:f>
        <x:v>0</x:v>
      </x:c>
      <x:c r="C203" s="3">
        <x:f>'1_참가선수입력'!C203</x:f>
        <x:v>0</x:v>
      </x:c>
      <x:c r="D203" s="3">
        <x:f>'1_참가선수입력'!D203</x:f>
        <x:v>0</x:v>
      </x:c>
      <x:c r="E203" s="4"/>
      <x:c r="F203" s="4"/>
      <x:c r="G203" s="4"/>
      <x:c r="H203" s="4"/>
      <x:c r="I203" s="4"/>
      <x:c r="J203" s="4"/>
      <x:c r="K203" s="4"/>
      <x:c r="L203" s="3" t="str">
        <x:f>IF(AND(E203="완료",F203="완료",G203="완료",H203="완료"),"완료","확인필요")</x:f>
        <x:v>확인필요</x:v>
      </x:c>
      <x:c r="M203" s="4"/>
      <x:c r="N203" s="4"/>
    </x:row>
    <x:row r="204" spans="1:14">
      <x:c r="A204" s="3">
        <x:f>'1_참가선수입력'!A204</x:f>
        <x:v>201</x:v>
      </x:c>
      <x:c r="B204" s="3">
        <x:f>'1_참가선수입력'!E204</x:f>
        <x:v>0</x:v>
      </x:c>
      <x:c r="C204" s="3">
        <x:f>'1_참가선수입력'!C204</x:f>
        <x:v>0</x:v>
      </x:c>
      <x:c r="D204" s="3">
        <x:f>'1_참가선수입력'!D204</x:f>
        <x:v>0</x:v>
      </x:c>
      <x:c r="E204" s="4"/>
      <x:c r="F204" s="4"/>
      <x:c r="G204" s="4"/>
      <x:c r="H204" s="4"/>
      <x:c r="I204" s="4"/>
      <x:c r="J204" s="4"/>
      <x:c r="K204" s="4"/>
      <x:c r="L204" s="3" t="str">
        <x:f>IF(AND(E204="완료",F204="완료",G204="완료",H204="완료"),"완료","확인필요")</x:f>
        <x:v>확인필요</x:v>
      </x:c>
      <x:c r="M204" s="4"/>
      <x:c r="N204" s="4"/>
    </x:row>
    <x:row r="205" spans="1:14">
      <x:c r="A205" s="3">
        <x:f>'1_참가선수입력'!A205</x:f>
        <x:v>202</x:v>
      </x:c>
      <x:c r="B205" s="3">
        <x:f>'1_참가선수입력'!E205</x:f>
        <x:v>0</x:v>
      </x:c>
      <x:c r="C205" s="3">
        <x:f>'1_참가선수입력'!C205</x:f>
        <x:v>0</x:v>
      </x:c>
      <x:c r="D205" s="3">
        <x:f>'1_참가선수입력'!D205</x:f>
        <x:v>0</x:v>
      </x:c>
      <x:c r="E205" s="4"/>
      <x:c r="F205" s="4"/>
      <x:c r="G205" s="4"/>
      <x:c r="H205" s="4"/>
      <x:c r="I205" s="4"/>
      <x:c r="J205" s="4"/>
      <x:c r="K205" s="4"/>
      <x:c r="L205" s="3" t="str">
        <x:f>IF(AND(E205="완료",F205="완료",G205="완료",H205="완료"),"완료","확인필요")</x:f>
        <x:v>확인필요</x:v>
      </x:c>
      <x:c r="M205" s="4"/>
      <x:c r="N205" s="4"/>
    </x:row>
    <x:row r="206" spans="1:14">
      <x:c r="A206" s="3">
        <x:f>'1_참가선수입력'!A206</x:f>
        <x:v>203</x:v>
      </x:c>
      <x:c r="B206" s="3">
        <x:f>'1_참가선수입력'!E206</x:f>
        <x:v>0</x:v>
      </x:c>
      <x:c r="C206" s="3">
        <x:f>'1_참가선수입력'!C206</x:f>
        <x:v>0</x:v>
      </x:c>
      <x:c r="D206" s="3">
        <x:f>'1_참가선수입력'!D206</x:f>
        <x:v>0</x:v>
      </x:c>
      <x:c r="E206" s="4"/>
      <x:c r="F206" s="4"/>
      <x:c r="G206" s="4"/>
      <x:c r="H206" s="4"/>
      <x:c r="I206" s="4"/>
      <x:c r="J206" s="4"/>
      <x:c r="K206" s="4"/>
      <x:c r="L206" s="3" t="str">
        <x:f>IF(AND(E206="완료",F206="완료",G206="완료",H206="완료"),"완료","확인필요")</x:f>
        <x:v>확인필요</x:v>
      </x:c>
      <x:c r="M206" s="4"/>
      <x:c r="N206" s="4"/>
    </x:row>
    <x:row r="207" spans="1:14">
      <x:c r="A207" s="3">
        <x:f>'1_참가선수입력'!A207</x:f>
        <x:v>204</x:v>
      </x:c>
      <x:c r="B207" s="3">
        <x:f>'1_참가선수입력'!E207</x:f>
        <x:v>0</x:v>
      </x:c>
      <x:c r="C207" s="3">
        <x:f>'1_참가선수입력'!C207</x:f>
        <x:v>0</x:v>
      </x:c>
      <x:c r="D207" s="3">
        <x:f>'1_참가선수입력'!D207</x:f>
        <x:v>0</x:v>
      </x:c>
      <x:c r="E207" s="4"/>
      <x:c r="F207" s="4"/>
      <x:c r="G207" s="4"/>
      <x:c r="H207" s="4"/>
      <x:c r="I207" s="4"/>
      <x:c r="J207" s="4"/>
      <x:c r="K207" s="4"/>
      <x:c r="L207" s="3" t="str">
        <x:f>IF(AND(E207="완료",F207="완료",G207="완료",H207="완료"),"완료","확인필요")</x:f>
        <x:v>확인필요</x:v>
      </x:c>
      <x:c r="M207" s="4"/>
      <x:c r="N207" s="4"/>
    </x:row>
    <x:row r="208" spans="1:14">
      <x:c r="A208" s="3">
        <x:f>'1_참가선수입력'!A208</x:f>
        <x:v>205</x:v>
      </x:c>
      <x:c r="B208" s="3">
        <x:f>'1_참가선수입력'!E208</x:f>
        <x:v>0</x:v>
      </x:c>
      <x:c r="C208" s="3">
        <x:f>'1_참가선수입력'!C208</x:f>
        <x:v>0</x:v>
      </x:c>
      <x:c r="D208" s="3">
        <x:f>'1_참가선수입력'!D208</x:f>
        <x:v>0</x:v>
      </x:c>
      <x:c r="E208" s="4"/>
      <x:c r="F208" s="4"/>
      <x:c r="G208" s="4"/>
      <x:c r="H208" s="4"/>
      <x:c r="I208" s="4"/>
      <x:c r="J208" s="4"/>
      <x:c r="K208" s="4"/>
      <x:c r="L208" s="3" t="str">
        <x:f>IF(AND(E208="완료",F208="완료",G208="완료",H208="완료"),"완료","확인필요")</x:f>
        <x:v>확인필요</x:v>
      </x:c>
      <x:c r="M208" s="4"/>
      <x:c r="N208" s="4"/>
    </x:row>
    <x:row r="209" spans="1:14">
      <x:c r="A209" s="3">
        <x:f>'1_참가선수입력'!A209</x:f>
        <x:v>206</x:v>
      </x:c>
      <x:c r="B209" s="3">
        <x:f>'1_참가선수입력'!E209</x:f>
        <x:v>0</x:v>
      </x:c>
      <x:c r="C209" s="3">
        <x:f>'1_참가선수입력'!C209</x:f>
        <x:v>0</x:v>
      </x:c>
      <x:c r="D209" s="3">
        <x:f>'1_참가선수입력'!D209</x:f>
        <x:v>0</x:v>
      </x:c>
      <x:c r="E209" s="4"/>
      <x:c r="F209" s="4"/>
      <x:c r="G209" s="4"/>
      <x:c r="H209" s="4"/>
      <x:c r="I209" s="4"/>
      <x:c r="J209" s="4"/>
      <x:c r="K209" s="4"/>
      <x:c r="L209" s="3" t="str">
        <x:f>IF(AND(E209="완료",F209="완료",G209="완료",H209="완료"),"완료","확인필요")</x:f>
        <x:v>확인필요</x:v>
      </x:c>
      <x:c r="M209" s="4"/>
      <x:c r="N209" s="4"/>
    </x:row>
    <x:row r="210" spans="1:14">
      <x:c r="A210" s="3">
        <x:f>'1_참가선수입력'!A210</x:f>
        <x:v>207</x:v>
      </x:c>
      <x:c r="B210" s="3">
        <x:f>'1_참가선수입력'!E210</x:f>
        <x:v>0</x:v>
      </x:c>
      <x:c r="C210" s="3">
        <x:f>'1_참가선수입력'!C210</x:f>
        <x:v>0</x:v>
      </x:c>
      <x:c r="D210" s="3">
        <x:f>'1_참가선수입력'!D210</x:f>
        <x:v>0</x:v>
      </x:c>
      <x:c r="E210" s="4"/>
      <x:c r="F210" s="4"/>
      <x:c r="G210" s="4"/>
      <x:c r="H210" s="4"/>
      <x:c r="I210" s="4"/>
      <x:c r="J210" s="4"/>
      <x:c r="K210" s="4"/>
      <x:c r="L210" s="3" t="str">
        <x:f>IF(AND(E210="완료",F210="완료",G210="완료",H210="완료"),"완료","확인필요")</x:f>
        <x:v>확인필요</x:v>
      </x:c>
      <x:c r="M210" s="4"/>
      <x:c r="N210" s="4"/>
    </x:row>
    <x:row r="211" spans="1:14">
      <x:c r="A211" s="3">
        <x:f>'1_참가선수입력'!A211</x:f>
        <x:v>208</x:v>
      </x:c>
      <x:c r="B211" s="3">
        <x:f>'1_참가선수입력'!E211</x:f>
        <x:v>0</x:v>
      </x:c>
      <x:c r="C211" s="3">
        <x:f>'1_참가선수입력'!C211</x:f>
        <x:v>0</x:v>
      </x:c>
      <x:c r="D211" s="3">
        <x:f>'1_참가선수입력'!D211</x:f>
        <x:v>0</x:v>
      </x:c>
      <x:c r="E211" s="4"/>
      <x:c r="F211" s="4"/>
      <x:c r="G211" s="4"/>
      <x:c r="H211" s="4"/>
      <x:c r="I211" s="4"/>
      <x:c r="J211" s="4"/>
      <x:c r="K211" s="4"/>
      <x:c r="L211" s="3" t="str">
        <x:f>IF(AND(E211="완료",F211="완료",G211="완료",H211="완료"),"완료","확인필요")</x:f>
        <x:v>확인필요</x:v>
      </x:c>
      <x:c r="M211" s="4"/>
      <x:c r="N211" s="4"/>
    </x:row>
    <x:row r="212" spans="1:14">
      <x:c r="A212" s="3">
        <x:f>'1_참가선수입력'!A212</x:f>
        <x:v>209</x:v>
      </x:c>
      <x:c r="B212" s="3">
        <x:f>'1_참가선수입력'!E212</x:f>
        <x:v>0</x:v>
      </x:c>
      <x:c r="C212" s="3">
        <x:f>'1_참가선수입력'!C212</x:f>
        <x:v>0</x:v>
      </x:c>
      <x:c r="D212" s="3">
        <x:f>'1_참가선수입력'!D212</x:f>
        <x:v>0</x:v>
      </x:c>
      <x:c r="E212" s="4"/>
      <x:c r="F212" s="4"/>
      <x:c r="G212" s="4"/>
      <x:c r="H212" s="4"/>
      <x:c r="I212" s="4"/>
      <x:c r="J212" s="4"/>
      <x:c r="K212" s="4"/>
      <x:c r="L212" s="3" t="str">
        <x:f>IF(AND(E212="완료",F212="완료",G212="완료",H212="완료"),"완료","확인필요")</x:f>
        <x:v>확인필요</x:v>
      </x:c>
      <x:c r="M212" s="4"/>
      <x:c r="N212" s="4"/>
    </x:row>
    <x:row r="213" spans="1:14">
      <x:c r="A213" s="3">
        <x:f>'1_참가선수입력'!A213</x:f>
        <x:v>210</x:v>
      </x:c>
      <x:c r="B213" s="3">
        <x:f>'1_참가선수입력'!E213</x:f>
        <x:v>0</x:v>
      </x:c>
      <x:c r="C213" s="3">
        <x:f>'1_참가선수입력'!C213</x:f>
        <x:v>0</x:v>
      </x:c>
      <x:c r="D213" s="3">
        <x:f>'1_참가선수입력'!D213</x:f>
        <x:v>0</x:v>
      </x:c>
      <x:c r="E213" s="4"/>
      <x:c r="F213" s="4"/>
      <x:c r="G213" s="4"/>
      <x:c r="H213" s="4"/>
      <x:c r="I213" s="4"/>
      <x:c r="J213" s="4"/>
      <x:c r="K213" s="4"/>
      <x:c r="L213" s="3" t="str">
        <x:f>IF(AND(E213="완료",F213="완료",G213="완료",H213="완료"),"완료","확인필요")</x:f>
        <x:v>확인필요</x:v>
      </x:c>
      <x:c r="M213" s="4"/>
      <x:c r="N213" s="4"/>
    </x:row>
  </x:sheetData>
  <x:autoFilter ref="A3:N213"/>
  <x:mergeCells count="1">
    <x:mergeCell ref="A1:N1"/>
  </x:mergeCells>
  <x:conditionalFormatting sqref="E4:E213">
    <x:cfRule type="expression" dxfId="1" priority="2">
      <x:formula>OR(E4="미입금",E4="확인필요")</x:formula>
    </x:cfRule>
    <x:cfRule type="expression" dxfId="0" priority="1">
      <x:formula>E4="완료"</x:formula>
    </x:cfRule>
  </x:conditionalFormatting>
  <x:conditionalFormatting sqref="F4:F213">
    <x:cfRule type="expression" dxfId="1" priority="4">
      <x:formula>OR(F4="미입금",F4="확인필요")</x:formula>
    </x:cfRule>
    <x:cfRule type="expression" dxfId="0" priority="3">
      <x:formula>F4="완료"</x:formula>
    </x:cfRule>
  </x:conditionalFormatting>
  <x:conditionalFormatting sqref="G4:G213">
    <x:cfRule type="expression" dxfId="1" priority="6">
      <x:formula>OR(G4="미입금",G4="확인필요")</x:formula>
    </x:cfRule>
    <x:cfRule type="expression" dxfId="0" priority="5">
      <x:formula>G4="완료"</x:formula>
    </x:cfRule>
  </x:conditionalFormatting>
  <x:conditionalFormatting sqref="H4:H213">
    <x:cfRule type="expression" dxfId="1" priority="8">
      <x:formula>OR(H4="미입금",H4="확인필요")</x:formula>
    </x:cfRule>
    <x:cfRule type="expression" dxfId="0" priority="7">
      <x:formula>H4="완료"</x:formula>
    </x:cfRule>
  </x:conditionalFormatting>
  <x:conditionalFormatting sqref="I4:I213">
    <x:cfRule type="expression" dxfId="1" priority="10">
      <x:formula>OR(I4="미입금",I4="확인필요")</x:formula>
    </x:cfRule>
    <x:cfRule type="expression" dxfId="0" priority="9">
      <x:formula>I4="완료"</x:formula>
    </x:cfRule>
  </x:conditionalFormatting>
  <x:conditionalFormatting sqref="J4:J213">
    <x:cfRule type="expression" dxfId="1" priority="12">
      <x:formula>OR(J4="미입금",J4="확인필요")</x:formula>
    </x:cfRule>
    <x:cfRule type="expression" dxfId="0" priority="11">
      <x:formula>J4="완료"</x:formula>
    </x:cfRule>
  </x:conditionalFormatting>
  <x:conditionalFormatting sqref="K4:K213">
    <x:cfRule type="expression" dxfId="1" priority="14">
      <x:formula>OR(K4="미입금",K4="확인필요")</x:formula>
    </x:cfRule>
    <x:cfRule type="expression" dxfId="0" priority="13">
      <x:formula>K4="완료"</x:formula>
    </x:cfRule>
  </x:conditionalFormatting>
  <x:conditionalFormatting sqref="L4:L213">
    <x:cfRule type="expression" dxfId="1" priority="16">
      <x:formula>OR(L4="미입금",L4="확인필요")</x:formula>
    </x:cfRule>
    <x:cfRule type="expression" dxfId="0" priority="15">
      <x:formula>L4="완료"</x:formula>
    </x:cfRule>
  </x:conditionalFormatting>
  <x:dataValidations count="1">
    <x:dataValidation type="list" allowBlank="1" sqref="E4:K4 E5:K5 E6:K6 E7:K7 E8:K8 E9:K9 E10:K10 E11:K11 E12:K12 E13:K13 E14:K14 E15:K15 E16:K16 E17:K17 E18:K18 E19:K19 E20:K20 E21:K21 E22:K22 E23:K23 E24:K24 E25:K25 E26:K26 E27:K27 E28:K28 E29:K29 E30:K30 E31:K31 E32:K32 E33:K33 E34:K34 E35:K35 E36:K36 E37:K37 E38:K38 E39:K39 E40:K40 E41:K41 E42:K42 E43:K43 E44:K44 E45:K45 E46:K46 E47:K47 E48:K48 E49:K49 E50:K50 E51:K51 E52:K52 E53:K53 E54:K54 E55:K55 E56:K56 E57:K57 E58:K58 E59:K59 E60:K60 E61:K61 E62:K62 E63:K63 E64:K64 E65:K65 E66:K66 E67:K67 E68:K68 E69:K69 E70:K70 E71:K71 E72:K72 E73:K73 E74:K74 E75:K75 E76:K76 E77:K77 E78:K78 E79:K79 E80:K80 E81:K81 E82:K82 E83:K83 E84:K84 E85:K85 E86:K86 E87:K87 E88:K88 E89:K89 E90:K90 E91:K91 E92:K92 E93:K93 E94:K94 E95:K95 E96:K96 E97:K97 E98:K98 E99:K99 E100:K100 E101:K101 E102:K102 E103:K103 E104:K104 E105:K105 E106:K106 E107:K107 E108:K108 E109:K109 E110:K110 E111:K111 E112:K112 E113:K113 E114:K114 E115:K115 E116:K116 E117:K117 E118:K118 E119:K119 E120:K120 E121:K121 E122:K122 E123:K123 E124:K124 E125:K125 E126:K126 E127:K127 E128:K128 E129:K129 E130:K130 E131:K131 E132:K132 E133:K133 E134:K134 E135:K135 E136:K136 E137:K137 E138:K138 E139:K139 E140:K140 E141:K141 E142:K142 E143:K143 E144:K144 E145:K145 E146:K146 E147:K147 E148:K148 E149:K149 E150:K150 E151:K151 E152:K152 E153:K153 E154:K154 E155:K155 E156:K156 E157:K157 E158:K158 E159:K159 E160:K160 E161:K161 E162:K162 E163:K163 E164:K164 E165:K165 E166:K166 E167:K167 E168:K168 E169:K169 E170:K170 E171:K171 E172:K172 E173:K173 E174:K174 E175:K175 E176:K176 E177:K177 E178:K178 E179:K179 E180:K180 E181:K181 E182:K182 E183:K183 E184:K184 E185:K185 E186:K186 E187:K187 E188:K188 E189:K189 E190:K190 E191:K191 E192:K192 E193:K193 E194:K194 E195:K195 E196:K196 E197:K197 E198:K198 E199:K199 E200:K200 E201:K201 E202:K202 E203:K203 E204:K204 E205:K205 E206:K206 E207:K207 E208:K208 E209:K209 E210:K210 E211:K211 E212:K212 E213:K213">
      <x:formula1>"완료,미입금,해당없음"</x:formula1>
    </x:dataValidation>
  </x:dataValidations>
  <x:pageMargins left="0.30000001192092896" right="0.30000001192092896" top="0.5" bottom="0.5" header="0.5" footer="0.5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 filterMode="1"/>
  <x:dimension ref="A1:M213"/>
  <x:sheetViews>
    <x:sheetView showGridLines="0" topLeftCell="A1" zoomScaleNormal="100" zoomScaleSheetLayoutView="75" workbookViewId="0">
      <x:pane xSplit="0" ySplit="3" topLeftCell="A34" activePane="bottomLeft" state="frozen"/>
      <x:selection pane="bottomLeft" activeCell="A1" activeCellId="0" sqref="A1:A1"/>
    </x:sheetView>
  </x:sheetViews>
  <x:sheetFormatPr defaultColWidth="8.796875" defaultRowHeight="16.399999999999999"/>
  <x:cols>
    <x:col min="1" max="1" width="6" customWidth="1"/>
    <x:col min="2" max="2" width="12" customWidth="1"/>
    <x:col min="3" max="3" width="10" customWidth="1"/>
    <x:col min="4" max="4" width="7" customWidth="1"/>
    <x:col min="5" max="5" width="18" customWidth="1"/>
    <x:col min="6" max="6" width="8" customWidth="1"/>
    <x:col min="7" max="7" width="16" customWidth="1"/>
    <x:col min="8" max="9" width="10" customWidth="1"/>
    <x:col min="10" max="11" width="12" customWidth="1"/>
    <x:col min="12" max="12" width="8" customWidth="1"/>
    <x:col min="13" max="13" width="10" customWidth="1"/>
  </x:cols>
  <x:sheetData>
    <x:row r="1" spans="1:13" ht="28" customHeight="1">
      <x:c r="A1" s="14" t="s">
        <x:v>110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3" spans="1:13">
      <x:c r="A3" s="2" t="s">
        <x:v>137</x:v>
      </x:c>
      <x:c r="B3" s="2" t="s">
        <x:v>134</x:v>
      </x:c>
      <x:c r="C3" s="2" t="s">
        <x:v>111</x:v>
      </x:c>
      <x:c r="D3" s="2" t="s">
        <x:v>133</x:v>
      </x:c>
      <x:c r="E3" s="2" t="s">
        <x:v>135</x:v>
      </x:c>
      <x:c r="F3" s="2" t="s">
        <x:v>2</x:v>
      </x:c>
      <x:c r="G3" s="2" t="s">
        <x:v>5</x:v>
      </x:c>
      <x:c r="H3" s="2" t="s">
        <x:v>0</x:v>
      </x:c>
      <x:c r="I3" s="2" t="s">
        <x:v>4</x:v>
      </x:c>
      <x:c r="J3" s="2" t="s">
        <x:v>6</x:v>
      </x:c>
      <x:c r="K3" s="2" t="s">
        <x:v>3</x:v>
      </x:c>
      <x:c r="L3" s="2" t="s">
        <x:v>1</x:v>
      </x:c>
      <x:c r="M3" s="2" t="s">
        <x:v>7</x:v>
      </x:c>
    </x:row>
    <x:row r="4" spans="1:13">
      <x:c r="A4" s="3">
        <x:f>'1_참가선수입력'!A4</x:f>
        <x:v>1</x:v>
      </x:c>
      <x:c r="B4" s="3">
        <x:f>'1_참가선수입력'!E4</x:f>
        <x:v>0</x:v>
      </x:c>
      <x:c r="C4" s="3">
        <x:f>'1_참가선수입력'!C4</x:f>
        <x:v>0</x:v>
      </x:c>
      <x:c r="D4" s="3">
        <x:f>'1_참가선수입력'!D4</x:f>
        <x:v>0</x:v>
      </x:c>
      <x:c r="E4" s="3">
        <x:f>'1_참가선수입력'!F4</x:f>
        <x:v>0</x:v>
      </x:c>
      <x:c r="F4" s="4"/>
      <x:c r="G4" s="4"/>
      <x:c r="H4" s="3" t="str">
        <x:f>IF(F4="","",F4+A4/10000)</x:f>
        <x:v/>
      </x:c>
      <x:c r="I4" s="3" t="str">
        <x:f>IF(F4="","",RANK(H4,$H$4:$H$213,1))</x:f>
        <x:v/>
      </x:c>
      <x:c r="J4" s="3" t="str">
        <x:f>IF(I4="","",IF(I4&lt;=104,"진출",""))</x:f>
        <x:v/>
      </x:c>
      <x:c r="K4" s="3" t="str">
        <x:f>IF(J4="진출",I4,"")</x:f>
        <x:v/>
      </x:c>
      <x:c r="L4" s="4"/>
      <x:c r="M4" s="3" t="str">
        <x:f>IF(OR(F4="",L4=""),"",F4+L4)</x:f>
        <x:v/>
      </x:c>
    </x:row>
    <x:row r="5" spans="1:13">
      <x:c r="A5" s="3">
        <x:f>'1_참가선수입력'!A5</x:f>
        <x:v>2</x:v>
      </x:c>
      <x:c r="B5" s="3">
        <x:f>'1_참가선수입력'!E5</x:f>
        <x:v>0</x:v>
      </x:c>
      <x:c r="C5" s="3">
        <x:f>'1_참가선수입력'!C5</x:f>
        <x:v>0</x:v>
      </x:c>
      <x:c r="D5" s="3">
        <x:f>'1_참가선수입력'!D5</x:f>
        <x:v>0</x:v>
      </x:c>
      <x:c r="E5" s="3">
        <x:f>'1_참가선수입력'!F5</x:f>
        <x:v>0</x:v>
      </x:c>
      <x:c r="F5" s="4"/>
      <x:c r="G5" s="4"/>
      <x:c r="H5" s="3" t="str">
        <x:f>IF(F5="","",F5+A5/10000)</x:f>
        <x:v/>
      </x:c>
      <x:c r="I5" s="3" t="str">
        <x:f>IF(F5="","",RANK(H5,$H$4:$H$213,1))</x:f>
        <x:v/>
      </x:c>
      <x:c r="J5" s="3" t="str">
        <x:f>IF(I5="","",IF(I5&lt;=104,"진출",""))</x:f>
        <x:v/>
      </x:c>
      <x:c r="K5" s="3" t="str">
        <x:f>IF(J5="진출",I5,"")</x:f>
        <x:v/>
      </x:c>
      <x:c r="L5" s="4"/>
      <x:c r="M5" s="3" t="str">
        <x:f>IF(OR(F5="",L5=""),"",F5+L5)</x:f>
        <x:v/>
      </x:c>
    </x:row>
    <x:row r="6" spans="1:13">
      <x:c r="A6" s="3">
        <x:f>'1_참가선수입력'!A6</x:f>
        <x:v>3</x:v>
      </x:c>
      <x:c r="B6" s="3">
        <x:f>'1_참가선수입력'!E6</x:f>
        <x:v>0</x:v>
      </x:c>
      <x:c r="C6" s="3">
        <x:f>'1_참가선수입력'!C6</x:f>
        <x:v>0</x:v>
      </x:c>
      <x:c r="D6" s="3">
        <x:f>'1_참가선수입력'!D6</x:f>
        <x:v>0</x:v>
      </x:c>
      <x:c r="E6" s="3">
        <x:f>'1_참가선수입력'!F6</x:f>
        <x:v>0</x:v>
      </x:c>
      <x:c r="F6" s="4"/>
      <x:c r="G6" s="4"/>
      <x:c r="H6" s="3" t="str">
        <x:f>IF(F6="","",F6+A6/10000)</x:f>
        <x:v/>
      </x:c>
      <x:c r="I6" s="3" t="str">
        <x:f>IF(F6="","",RANK(H6,$H$4:$H$213,1))</x:f>
        <x:v/>
      </x:c>
      <x:c r="J6" s="3" t="str">
        <x:f>IF(I6="","",IF(I6&lt;=104,"진출",""))</x:f>
        <x:v/>
      </x:c>
      <x:c r="K6" s="3" t="str">
        <x:f>IF(J6="진출",I6,"")</x:f>
        <x:v/>
      </x:c>
      <x:c r="L6" s="4"/>
      <x:c r="M6" s="3" t="str">
        <x:f>IF(OR(F6="",L6=""),"",F6+L6)</x:f>
        <x:v/>
      </x:c>
    </x:row>
    <x:row r="7" spans="1:13">
      <x:c r="A7" s="3">
        <x:f>'1_참가선수입력'!A7</x:f>
        <x:v>4</x:v>
      </x:c>
      <x:c r="B7" s="3">
        <x:f>'1_참가선수입력'!E7</x:f>
        <x:v>0</x:v>
      </x:c>
      <x:c r="C7" s="3">
        <x:f>'1_참가선수입력'!C7</x:f>
        <x:v>0</x:v>
      </x:c>
      <x:c r="D7" s="3">
        <x:f>'1_참가선수입력'!D7</x:f>
        <x:v>0</x:v>
      </x:c>
      <x:c r="E7" s="3">
        <x:f>'1_참가선수입력'!F7</x:f>
        <x:v>0</x:v>
      </x:c>
      <x:c r="F7" s="4"/>
      <x:c r="G7" s="4"/>
      <x:c r="H7" s="3" t="str">
        <x:f>IF(F7="","",F7+A7/10000)</x:f>
        <x:v/>
      </x:c>
      <x:c r="I7" s="3" t="str">
        <x:f>IF(F7="","",RANK(H7,$H$4:$H$213,1))</x:f>
        <x:v/>
      </x:c>
      <x:c r="J7" s="3" t="str">
        <x:f>IF(I7="","",IF(I7&lt;=104,"진출",""))</x:f>
        <x:v/>
      </x:c>
      <x:c r="K7" s="3" t="str">
        <x:f>IF(J7="진출",I7,"")</x:f>
        <x:v/>
      </x:c>
      <x:c r="L7" s="4"/>
      <x:c r="M7" s="3" t="str">
        <x:f>IF(OR(F7="",L7=""),"",F7+L7)</x:f>
        <x:v/>
      </x:c>
    </x:row>
    <x:row r="8" spans="1:13">
      <x:c r="A8" s="3">
        <x:f>'1_참가선수입력'!A8</x:f>
        <x:v>5</x:v>
      </x:c>
      <x:c r="B8" s="3">
        <x:f>'1_참가선수입력'!E8</x:f>
        <x:v>0</x:v>
      </x:c>
      <x:c r="C8" s="3">
        <x:f>'1_참가선수입력'!C8</x:f>
        <x:v>0</x:v>
      </x:c>
      <x:c r="D8" s="3">
        <x:f>'1_참가선수입력'!D8</x:f>
        <x:v>0</x:v>
      </x:c>
      <x:c r="E8" s="3">
        <x:f>'1_참가선수입력'!F8</x:f>
        <x:v>0</x:v>
      </x:c>
      <x:c r="F8" s="4"/>
      <x:c r="G8" s="4"/>
      <x:c r="H8" s="3" t="str">
        <x:f>IF(F8="","",F8+A8/10000)</x:f>
        <x:v/>
      </x:c>
      <x:c r="I8" s="3" t="str">
        <x:f>IF(F8="","",RANK(H8,$H$4:$H$213,1))</x:f>
        <x:v/>
      </x:c>
      <x:c r="J8" s="3" t="str">
        <x:f>IF(I8="","",IF(I8&lt;=104,"진출",""))</x:f>
        <x:v/>
      </x:c>
      <x:c r="K8" s="3" t="str">
        <x:f>IF(J8="진출",I8,"")</x:f>
        <x:v/>
      </x:c>
      <x:c r="L8" s="4"/>
      <x:c r="M8" s="3" t="str">
        <x:f>IF(OR(F8="",L8=""),"",F8+L8)</x:f>
        <x:v/>
      </x:c>
    </x:row>
    <x:row r="9" spans="1:13">
      <x:c r="A9" s="3">
        <x:f>'1_참가선수입력'!A9</x:f>
        <x:v>6</x:v>
      </x:c>
      <x:c r="B9" s="3">
        <x:f>'1_참가선수입력'!E9</x:f>
        <x:v>0</x:v>
      </x:c>
      <x:c r="C9" s="3">
        <x:f>'1_참가선수입력'!C9</x:f>
        <x:v>0</x:v>
      </x:c>
      <x:c r="D9" s="3">
        <x:f>'1_참가선수입력'!D9</x:f>
        <x:v>0</x:v>
      </x:c>
      <x:c r="E9" s="3">
        <x:f>'1_참가선수입력'!F9</x:f>
        <x:v>0</x:v>
      </x:c>
      <x:c r="F9" s="4"/>
      <x:c r="G9" s="4"/>
      <x:c r="H9" s="3" t="str">
        <x:f>IF(F9="","",F9+A9/10000)</x:f>
        <x:v/>
      </x:c>
      <x:c r="I9" s="3" t="str">
        <x:f>IF(F9="","",RANK(H9,$H$4:$H$213,1))</x:f>
        <x:v/>
      </x:c>
      <x:c r="J9" s="3" t="str">
        <x:f>IF(I9="","",IF(I9&lt;=104,"진출",""))</x:f>
        <x:v/>
      </x:c>
      <x:c r="K9" s="3" t="str">
        <x:f>IF(J9="진출",I9,"")</x:f>
        <x:v/>
      </x:c>
      <x:c r="L9" s="4"/>
      <x:c r="M9" s="3" t="str">
        <x:f>IF(OR(F9="",L9=""),"",F9+L9)</x:f>
        <x:v/>
      </x:c>
    </x:row>
    <x:row r="10" spans="1:13">
      <x:c r="A10" s="3">
        <x:f>'1_참가선수입력'!A10</x:f>
        <x:v>7</x:v>
      </x:c>
      <x:c r="B10" s="3">
        <x:f>'1_참가선수입력'!E10</x:f>
        <x:v>0</x:v>
      </x:c>
      <x:c r="C10" s="3">
        <x:f>'1_참가선수입력'!C10</x:f>
        <x:v>0</x:v>
      </x:c>
      <x:c r="D10" s="3">
        <x:f>'1_참가선수입력'!D10</x:f>
        <x:v>0</x:v>
      </x:c>
      <x:c r="E10" s="3">
        <x:f>'1_참가선수입력'!F10</x:f>
        <x:v>0</x:v>
      </x:c>
      <x:c r="F10" s="4"/>
      <x:c r="G10" s="4"/>
      <x:c r="H10" s="3" t="str">
        <x:f>IF(F10="","",F10+A10/10000)</x:f>
        <x:v/>
      </x:c>
      <x:c r="I10" s="3" t="str">
        <x:f>IF(F10="","",RANK(H10,$H$4:$H$213,1))</x:f>
        <x:v/>
      </x:c>
      <x:c r="J10" s="3" t="str">
        <x:f>IF(I10="","",IF(I10&lt;=104,"진출",""))</x:f>
        <x:v/>
      </x:c>
      <x:c r="K10" s="3" t="str">
        <x:f>IF(J10="진출",I10,"")</x:f>
        <x:v/>
      </x:c>
      <x:c r="L10" s="4"/>
      <x:c r="M10" s="3" t="str">
        <x:f>IF(OR(F10="",L10=""),"",F10+L10)</x:f>
        <x:v/>
      </x:c>
    </x:row>
    <x:row r="11" spans="1:13">
      <x:c r="A11" s="3">
        <x:f>'1_참가선수입력'!A11</x:f>
        <x:v>8</x:v>
      </x:c>
      <x:c r="B11" s="3">
        <x:f>'1_참가선수입력'!E11</x:f>
        <x:v>0</x:v>
      </x:c>
      <x:c r="C11" s="3">
        <x:f>'1_참가선수입력'!C11</x:f>
        <x:v>0</x:v>
      </x:c>
      <x:c r="D11" s="3">
        <x:f>'1_참가선수입력'!D11</x:f>
        <x:v>0</x:v>
      </x:c>
      <x:c r="E11" s="3">
        <x:f>'1_참가선수입력'!F11</x:f>
        <x:v>0</x:v>
      </x:c>
      <x:c r="F11" s="4"/>
      <x:c r="G11" s="4"/>
      <x:c r="H11" s="3" t="str">
        <x:f>IF(F11="","",F11+A11/10000)</x:f>
        <x:v/>
      </x:c>
      <x:c r="I11" s="3" t="str">
        <x:f>IF(F11="","",RANK(H11,$H$4:$H$213,1))</x:f>
        <x:v/>
      </x:c>
      <x:c r="J11" s="3" t="str">
        <x:f>IF(I11="","",IF(I11&lt;=104,"진출",""))</x:f>
        <x:v/>
      </x:c>
      <x:c r="K11" s="3" t="str">
        <x:f>IF(J11="진출",I11,"")</x:f>
        <x:v/>
      </x:c>
      <x:c r="L11" s="4"/>
      <x:c r="M11" s="3" t="str">
        <x:f>IF(OR(F11="",L11=""),"",F11+L11)</x:f>
        <x:v/>
      </x:c>
    </x:row>
    <x:row r="12" spans="1:13">
      <x:c r="A12" s="3">
        <x:f>'1_참가선수입력'!A12</x:f>
        <x:v>9</x:v>
      </x:c>
      <x:c r="B12" s="3">
        <x:f>'1_참가선수입력'!E12</x:f>
        <x:v>0</x:v>
      </x:c>
      <x:c r="C12" s="3">
        <x:f>'1_참가선수입력'!C12</x:f>
        <x:v>0</x:v>
      </x:c>
      <x:c r="D12" s="3">
        <x:f>'1_참가선수입력'!D12</x:f>
        <x:v>0</x:v>
      </x:c>
      <x:c r="E12" s="3">
        <x:f>'1_참가선수입력'!F12</x:f>
        <x:v>0</x:v>
      </x:c>
      <x:c r="F12" s="4"/>
      <x:c r="G12" s="4"/>
      <x:c r="H12" s="3" t="str">
        <x:f>IF(F12="","",F12+A12/10000)</x:f>
        <x:v/>
      </x:c>
      <x:c r="I12" s="3" t="str">
        <x:f>IF(F12="","",RANK(H12,$H$4:$H$213,1))</x:f>
        <x:v/>
      </x:c>
      <x:c r="J12" s="3" t="str">
        <x:f>IF(I12="","",IF(I12&lt;=104,"진출",""))</x:f>
        <x:v/>
      </x:c>
      <x:c r="K12" s="3" t="str">
        <x:f>IF(J12="진출",I12,"")</x:f>
        <x:v/>
      </x:c>
      <x:c r="L12" s="4"/>
      <x:c r="M12" s="3" t="str">
        <x:f>IF(OR(F12="",L12=""),"",F12+L12)</x:f>
        <x:v/>
      </x:c>
    </x:row>
    <x:row r="13" spans="1:13">
      <x:c r="A13" s="3">
        <x:f>'1_참가선수입력'!A13</x:f>
        <x:v>10</x:v>
      </x:c>
      <x:c r="B13" s="3">
        <x:f>'1_참가선수입력'!E13</x:f>
        <x:v>0</x:v>
      </x:c>
      <x:c r="C13" s="3">
        <x:f>'1_참가선수입력'!C13</x:f>
        <x:v>0</x:v>
      </x:c>
      <x:c r="D13" s="3">
        <x:f>'1_참가선수입력'!D13</x:f>
        <x:v>0</x:v>
      </x:c>
      <x:c r="E13" s="3">
        <x:f>'1_참가선수입력'!F13</x:f>
        <x:v>0</x:v>
      </x:c>
      <x:c r="F13" s="4"/>
      <x:c r="G13" s="4"/>
      <x:c r="H13" s="3" t="str">
        <x:f>IF(F13="","",F13+A13/10000)</x:f>
        <x:v/>
      </x:c>
      <x:c r="I13" s="3" t="str">
        <x:f>IF(F13="","",RANK(H13,$H$4:$H$213,1))</x:f>
        <x:v/>
      </x:c>
      <x:c r="J13" s="3" t="str">
        <x:f>IF(I13="","",IF(I13&lt;=104,"진출",""))</x:f>
        <x:v/>
      </x:c>
      <x:c r="K13" s="3" t="str">
        <x:f>IF(J13="진출",I13,"")</x:f>
        <x:v/>
      </x:c>
      <x:c r="L13" s="4"/>
      <x:c r="M13" s="3" t="str">
        <x:f>IF(OR(F13="",L13=""),"",F13+L13)</x:f>
        <x:v/>
      </x:c>
    </x:row>
    <x:row r="14" spans="1:13">
      <x:c r="A14" s="3">
        <x:f>'1_참가선수입력'!A14</x:f>
        <x:v>11</x:v>
      </x:c>
      <x:c r="B14" s="3">
        <x:f>'1_참가선수입력'!E14</x:f>
        <x:v>0</x:v>
      </x:c>
      <x:c r="C14" s="3">
        <x:f>'1_참가선수입력'!C14</x:f>
        <x:v>0</x:v>
      </x:c>
      <x:c r="D14" s="3">
        <x:f>'1_참가선수입력'!D14</x:f>
        <x:v>0</x:v>
      </x:c>
      <x:c r="E14" s="3">
        <x:f>'1_참가선수입력'!F14</x:f>
        <x:v>0</x:v>
      </x:c>
      <x:c r="F14" s="4"/>
      <x:c r="G14" s="4"/>
      <x:c r="H14" s="3" t="str">
        <x:f>IF(F14="","",F14+A14/10000)</x:f>
        <x:v/>
      </x:c>
      <x:c r="I14" s="3" t="str">
        <x:f>IF(F14="","",RANK(H14,$H$4:$H$213,1))</x:f>
        <x:v/>
      </x:c>
      <x:c r="J14" s="3" t="str">
        <x:f>IF(I14="","",IF(I14&lt;=104,"진출",""))</x:f>
        <x:v/>
      </x:c>
      <x:c r="K14" s="3" t="str">
        <x:f>IF(J14="진출",I14,"")</x:f>
        <x:v/>
      </x:c>
      <x:c r="L14" s="4"/>
      <x:c r="M14" s="3" t="str">
        <x:f>IF(OR(F14="",L14=""),"",F14+L14)</x:f>
        <x:v/>
      </x:c>
    </x:row>
    <x:row r="15" spans="1:13">
      <x:c r="A15" s="3">
        <x:f>'1_참가선수입력'!A15</x:f>
        <x:v>12</x:v>
      </x:c>
      <x:c r="B15" s="3">
        <x:f>'1_참가선수입력'!E15</x:f>
        <x:v>0</x:v>
      </x:c>
      <x:c r="C15" s="3">
        <x:f>'1_참가선수입력'!C15</x:f>
        <x:v>0</x:v>
      </x:c>
      <x:c r="D15" s="3">
        <x:f>'1_참가선수입력'!D15</x:f>
        <x:v>0</x:v>
      </x:c>
      <x:c r="E15" s="3">
        <x:f>'1_참가선수입력'!F15</x:f>
        <x:v>0</x:v>
      </x:c>
      <x:c r="F15" s="4"/>
      <x:c r="G15" s="4"/>
      <x:c r="H15" s="3" t="str">
        <x:f>IF(F15="","",F15+A15/10000)</x:f>
        <x:v/>
      </x:c>
      <x:c r="I15" s="3" t="str">
        <x:f>IF(F15="","",RANK(H15,$H$4:$H$213,1))</x:f>
        <x:v/>
      </x:c>
      <x:c r="J15" s="3" t="str">
        <x:f>IF(I15="","",IF(I15&lt;=104,"진출",""))</x:f>
        <x:v/>
      </x:c>
      <x:c r="K15" s="3" t="str">
        <x:f>IF(J15="진출",I15,"")</x:f>
        <x:v/>
      </x:c>
      <x:c r="L15" s="4"/>
      <x:c r="M15" s="3" t="str">
        <x:f>IF(OR(F15="",L15=""),"",F15+L15)</x:f>
        <x:v/>
      </x:c>
    </x:row>
    <x:row r="16" spans="1:13">
      <x:c r="A16" s="3">
        <x:f>'1_참가선수입력'!A16</x:f>
        <x:v>13</x:v>
      </x:c>
      <x:c r="B16" s="3">
        <x:f>'1_참가선수입력'!E16</x:f>
        <x:v>0</x:v>
      </x:c>
      <x:c r="C16" s="3">
        <x:f>'1_참가선수입력'!C16</x:f>
        <x:v>0</x:v>
      </x:c>
      <x:c r="D16" s="3">
        <x:f>'1_참가선수입력'!D16</x:f>
        <x:v>0</x:v>
      </x:c>
      <x:c r="E16" s="3">
        <x:f>'1_참가선수입력'!F16</x:f>
        <x:v>0</x:v>
      </x:c>
      <x:c r="F16" s="4"/>
      <x:c r="G16" s="4"/>
      <x:c r="H16" s="3" t="str">
        <x:f>IF(F16="","",F16+A16/10000)</x:f>
        <x:v/>
      </x:c>
      <x:c r="I16" s="3" t="str">
        <x:f>IF(F16="","",RANK(H16,$H$4:$H$213,1))</x:f>
        <x:v/>
      </x:c>
      <x:c r="J16" s="3" t="str">
        <x:f>IF(I16="","",IF(I16&lt;=104,"진출",""))</x:f>
        <x:v/>
      </x:c>
      <x:c r="K16" s="3" t="str">
        <x:f>IF(J16="진출",I16,"")</x:f>
        <x:v/>
      </x:c>
      <x:c r="L16" s="4"/>
      <x:c r="M16" s="3" t="str">
        <x:f>IF(OR(F16="",L16=""),"",F16+L16)</x:f>
        <x:v/>
      </x:c>
    </x:row>
    <x:row r="17" spans="1:13">
      <x:c r="A17" s="3">
        <x:f>'1_참가선수입력'!A17</x:f>
        <x:v>14</x:v>
      </x:c>
      <x:c r="B17" s="3">
        <x:f>'1_참가선수입력'!E17</x:f>
        <x:v>0</x:v>
      </x:c>
      <x:c r="C17" s="3">
        <x:f>'1_참가선수입력'!C17</x:f>
        <x:v>0</x:v>
      </x:c>
      <x:c r="D17" s="3">
        <x:f>'1_참가선수입력'!D17</x:f>
        <x:v>0</x:v>
      </x:c>
      <x:c r="E17" s="3">
        <x:f>'1_참가선수입력'!F17</x:f>
        <x:v>0</x:v>
      </x:c>
      <x:c r="F17" s="4"/>
      <x:c r="G17" s="4"/>
      <x:c r="H17" s="3" t="str">
        <x:f>IF(F17="","",F17+A17/10000)</x:f>
        <x:v/>
      </x:c>
      <x:c r="I17" s="3" t="str">
        <x:f>IF(F17="","",RANK(H17,$H$4:$H$213,1))</x:f>
        <x:v/>
      </x:c>
      <x:c r="J17" s="3" t="str">
        <x:f>IF(I17="","",IF(I17&lt;=104,"진출",""))</x:f>
        <x:v/>
      </x:c>
      <x:c r="K17" s="3" t="str">
        <x:f>IF(J17="진출",I17,"")</x:f>
        <x:v/>
      </x:c>
      <x:c r="L17" s="4"/>
      <x:c r="M17" s="3" t="str">
        <x:f>IF(OR(F17="",L17=""),"",F17+L17)</x:f>
        <x:v/>
      </x:c>
    </x:row>
    <x:row r="18" spans="1:13">
      <x:c r="A18" s="3">
        <x:f>'1_참가선수입력'!A18</x:f>
        <x:v>15</x:v>
      </x:c>
      <x:c r="B18" s="3">
        <x:f>'1_참가선수입력'!E18</x:f>
        <x:v>0</x:v>
      </x:c>
      <x:c r="C18" s="3">
        <x:f>'1_참가선수입력'!C18</x:f>
        <x:v>0</x:v>
      </x:c>
      <x:c r="D18" s="3">
        <x:f>'1_참가선수입력'!D18</x:f>
        <x:v>0</x:v>
      </x:c>
      <x:c r="E18" s="3">
        <x:f>'1_참가선수입력'!F18</x:f>
        <x:v>0</x:v>
      </x:c>
      <x:c r="F18" s="4"/>
      <x:c r="G18" s="4"/>
      <x:c r="H18" s="3" t="str">
        <x:f>IF(F18="","",F18+A18/10000)</x:f>
        <x:v/>
      </x:c>
      <x:c r="I18" s="3" t="str">
        <x:f>IF(F18="","",RANK(H18,$H$4:$H$213,1))</x:f>
        <x:v/>
      </x:c>
      <x:c r="J18" s="3" t="str">
        <x:f>IF(I18="","",IF(I18&lt;=104,"진출",""))</x:f>
        <x:v/>
      </x:c>
      <x:c r="K18" s="3" t="str">
        <x:f>IF(J18="진출",I18,"")</x:f>
        <x:v/>
      </x:c>
      <x:c r="L18" s="4"/>
      <x:c r="M18" s="3" t="str">
        <x:f>IF(OR(F18="",L18=""),"",F18+L18)</x:f>
        <x:v/>
      </x:c>
    </x:row>
    <x:row r="19" spans="1:13">
      <x:c r="A19" s="3">
        <x:f>'1_참가선수입력'!A19</x:f>
        <x:v>16</x:v>
      </x:c>
      <x:c r="B19" s="3">
        <x:f>'1_참가선수입력'!E19</x:f>
        <x:v>0</x:v>
      </x:c>
      <x:c r="C19" s="3">
        <x:f>'1_참가선수입력'!C19</x:f>
        <x:v>0</x:v>
      </x:c>
      <x:c r="D19" s="3">
        <x:f>'1_참가선수입력'!D19</x:f>
        <x:v>0</x:v>
      </x:c>
      <x:c r="E19" s="3">
        <x:f>'1_참가선수입력'!F19</x:f>
        <x:v>0</x:v>
      </x:c>
      <x:c r="F19" s="4"/>
      <x:c r="G19" s="4"/>
      <x:c r="H19" s="3" t="str">
        <x:f>IF(F19="","",F19+A19/10000)</x:f>
        <x:v/>
      </x:c>
      <x:c r="I19" s="3" t="str">
        <x:f>IF(F19="","",RANK(H19,$H$4:$H$213,1))</x:f>
        <x:v/>
      </x:c>
      <x:c r="J19" s="3" t="str">
        <x:f>IF(I19="","",IF(I19&lt;=104,"진출",""))</x:f>
        <x:v/>
      </x:c>
      <x:c r="K19" s="3" t="str">
        <x:f>IF(J19="진출",I19,"")</x:f>
        <x:v/>
      </x:c>
      <x:c r="L19" s="4"/>
      <x:c r="M19" s="3" t="str">
        <x:f>IF(OR(F19="",L19=""),"",F19+L19)</x:f>
        <x:v/>
      </x:c>
    </x:row>
    <x:row r="20" spans="1:13">
      <x:c r="A20" s="3">
        <x:f>'1_참가선수입력'!A20</x:f>
        <x:v>17</x:v>
      </x:c>
      <x:c r="B20" s="3">
        <x:f>'1_참가선수입력'!E20</x:f>
        <x:v>0</x:v>
      </x:c>
      <x:c r="C20" s="3">
        <x:f>'1_참가선수입력'!C20</x:f>
        <x:v>0</x:v>
      </x:c>
      <x:c r="D20" s="3">
        <x:f>'1_참가선수입력'!D20</x:f>
        <x:v>0</x:v>
      </x:c>
      <x:c r="E20" s="3">
        <x:f>'1_참가선수입력'!F20</x:f>
        <x:v>0</x:v>
      </x:c>
      <x:c r="F20" s="4"/>
      <x:c r="G20" s="4"/>
      <x:c r="H20" s="3" t="str">
        <x:f>IF(F20="","",F20+A20/10000)</x:f>
        <x:v/>
      </x:c>
      <x:c r="I20" s="3" t="str">
        <x:f>IF(F20="","",RANK(H20,$H$4:$H$213,1))</x:f>
        <x:v/>
      </x:c>
      <x:c r="J20" s="3" t="str">
        <x:f>IF(I20="","",IF(I20&lt;=104,"진출",""))</x:f>
        <x:v/>
      </x:c>
      <x:c r="K20" s="3" t="str">
        <x:f>IF(J20="진출",I20,"")</x:f>
        <x:v/>
      </x:c>
      <x:c r="L20" s="4"/>
      <x:c r="M20" s="3" t="str">
        <x:f>IF(OR(F20="",L20=""),"",F20+L20)</x:f>
        <x:v/>
      </x:c>
    </x:row>
    <x:row r="21" spans="1:13">
      <x:c r="A21" s="3">
        <x:f>'1_참가선수입력'!A21</x:f>
        <x:v>18</x:v>
      </x:c>
      <x:c r="B21" s="3">
        <x:f>'1_참가선수입력'!E21</x:f>
        <x:v>0</x:v>
      </x:c>
      <x:c r="C21" s="3">
        <x:f>'1_참가선수입력'!C21</x:f>
        <x:v>0</x:v>
      </x:c>
      <x:c r="D21" s="3">
        <x:f>'1_참가선수입력'!D21</x:f>
        <x:v>0</x:v>
      </x:c>
      <x:c r="E21" s="3">
        <x:f>'1_참가선수입력'!F21</x:f>
        <x:v>0</x:v>
      </x:c>
      <x:c r="F21" s="4"/>
      <x:c r="G21" s="4"/>
      <x:c r="H21" s="3" t="str">
        <x:f>IF(F21="","",F21+A21/10000)</x:f>
        <x:v/>
      </x:c>
      <x:c r="I21" s="3" t="str">
        <x:f>IF(F21="","",RANK(H21,$H$4:$H$213,1))</x:f>
        <x:v/>
      </x:c>
      <x:c r="J21" s="3" t="str">
        <x:f>IF(I21="","",IF(I21&lt;=104,"진출",""))</x:f>
        <x:v/>
      </x:c>
      <x:c r="K21" s="3" t="str">
        <x:f>IF(J21="진출",I21,"")</x:f>
        <x:v/>
      </x:c>
      <x:c r="L21" s="4"/>
      <x:c r="M21" s="3" t="str">
        <x:f>IF(OR(F21="",L21=""),"",F21+L21)</x:f>
        <x:v/>
      </x:c>
    </x:row>
    <x:row r="22" spans="1:13">
      <x:c r="A22" s="3">
        <x:f>'1_참가선수입력'!A22</x:f>
        <x:v>19</x:v>
      </x:c>
      <x:c r="B22" s="3">
        <x:f>'1_참가선수입력'!E22</x:f>
        <x:v>0</x:v>
      </x:c>
      <x:c r="C22" s="3">
        <x:f>'1_참가선수입력'!C22</x:f>
        <x:v>0</x:v>
      </x:c>
      <x:c r="D22" s="3">
        <x:f>'1_참가선수입력'!D22</x:f>
        <x:v>0</x:v>
      </x:c>
      <x:c r="E22" s="3">
        <x:f>'1_참가선수입력'!F22</x:f>
        <x:v>0</x:v>
      </x:c>
      <x:c r="F22" s="4"/>
      <x:c r="G22" s="4"/>
      <x:c r="H22" s="3" t="str">
        <x:f>IF(F22="","",F22+A22/10000)</x:f>
        <x:v/>
      </x:c>
      <x:c r="I22" s="3" t="str">
        <x:f>IF(F22="","",RANK(H22,$H$4:$H$213,1))</x:f>
        <x:v/>
      </x:c>
      <x:c r="J22" s="3" t="str">
        <x:f>IF(I22="","",IF(I22&lt;=104,"진출",""))</x:f>
        <x:v/>
      </x:c>
      <x:c r="K22" s="3" t="str">
        <x:f>IF(J22="진출",I22,"")</x:f>
        <x:v/>
      </x:c>
      <x:c r="L22" s="4"/>
      <x:c r="M22" s="3" t="str">
        <x:f>IF(OR(F22="",L22=""),"",F22+L22)</x:f>
        <x:v/>
      </x:c>
    </x:row>
    <x:row r="23" spans="1:13">
      <x:c r="A23" s="3">
        <x:f>'1_참가선수입력'!A23</x:f>
        <x:v>20</x:v>
      </x:c>
      <x:c r="B23" s="3">
        <x:f>'1_참가선수입력'!E23</x:f>
        <x:v>0</x:v>
      </x:c>
      <x:c r="C23" s="3">
        <x:f>'1_참가선수입력'!C23</x:f>
        <x:v>0</x:v>
      </x:c>
      <x:c r="D23" s="3">
        <x:f>'1_참가선수입력'!D23</x:f>
        <x:v>0</x:v>
      </x:c>
      <x:c r="E23" s="3">
        <x:f>'1_참가선수입력'!F23</x:f>
        <x:v>0</x:v>
      </x:c>
      <x:c r="F23" s="4"/>
      <x:c r="G23" s="4"/>
      <x:c r="H23" s="3" t="str">
        <x:f>IF(F23="","",F23+A23/10000)</x:f>
        <x:v/>
      </x:c>
      <x:c r="I23" s="3" t="str">
        <x:f>IF(F23="","",RANK(H23,$H$4:$H$213,1))</x:f>
        <x:v/>
      </x:c>
      <x:c r="J23" s="3" t="str">
        <x:f>IF(I23="","",IF(I23&lt;=104,"진출",""))</x:f>
        <x:v/>
      </x:c>
      <x:c r="K23" s="3" t="str">
        <x:f>IF(J23="진출",I23,"")</x:f>
        <x:v/>
      </x:c>
      <x:c r="L23" s="4"/>
      <x:c r="M23" s="3" t="str">
        <x:f>IF(OR(F23="",L23=""),"",F23+L23)</x:f>
        <x:v/>
      </x:c>
    </x:row>
    <x:row r="24" spans="1:13">
      <x:c r="A24" s="3">
        <x:f>'1_참가선수입력'!A24</x:f>
        <x:v>21</x:v>
      </x:c>
      <x:c r="B24" s="3">
        <x:f>'1_참가선수입력'!E24</x:f>
        <x:v>0</x:v>
      </x:c>
      <x:c r="C24" s="3">
        <x:f>'1_참가선수입력'!C24</x:f>
        <x:v>0</x:v>
      </x:c>
      <x:c r="D24" s="3">
        <x:f>'1_참가선수입력'!D24</x:f>
        <x:v>0</x:v>
      </x:c>
      <x:c r="E24" s="3">
        <x:f>'1_참가선수입력'!F24</x:f>
        <x:v>0</x:v>
      </x:c>
      <x:c r="F24" s="4"/>
      <x:c r="G24" s="4"/>
      <x:c r="H24" s="3" t="str">
        <x:f>IF(F24="","",F24+A24/10000)</x:f>
        <x:v/>
      </x:c>
      <x:c r="I24" s="3" t="str">
        <x:f>IF(F24="","",RANK(H24,$H$4:$H$213,1))</x:f>
        <x:v/>
      </x:c>
      <x:c r="J24" s="3" t="str">
        <x:f>IF(I24="","",IF(I24&lt;=104,"진출",""))</x:f>
        <x:v/>
      </x:c>
      <x:c r="K24" s="3" t="str">
        <x:f>IF(J24="진출",I24,"")</x:f>
        <x:v/>
      </x:c>
      <x:c r="L24" s="4"/>
      <x:c r="M24" s="3" t="str">
        <x:f>IF(OR(F24="",L24=""),"",F24+L24)</x:f>
        <x:v/>
      </x:c>
    </x:row>
    <x:row r="25" spans="1:13">
      <x:c r="A25" s="3">
        <x:f>'1_참가선수입력'!A25</x:f>
        <x:v>22</x:v>
      </x:c>
      <x:c r="B25" s="3">
        <x:f>'1_참가선수입력'!E25</x:f>
        <x:v>0</x:v>
      </x:c>
      <x:c r="C25" s="3">
        <x:f>'1_참가선수입력'!C25</x:f>
        <x:v>0</x:v>
      </x:c>
      <x:c r="D25" s="3">
        <x:f>'1_참가선수입력'!D25</x:f>
        <x:v>0</x:v>
      </x:c>
      <x:c r="E25" s="3">
        <x:f>'1_참가선수입력'!F25</x:f>
        <x:v>0</x:v>
      </x:c>
      <x:c r="F25" s="4"/>
      <x:c r="G25" s="4"/>
      <x:c r="H25" s="3" t="str">
        <x:f>IF(F25="","",F25+A25/10000)</x:f>
        <x:v/>
      </x:c>
      <x:c r="I25" s="3" t="str">
        <x:f>IF(F25="","",RANK(H25,$H$4:$H$213,1))</x:f>
        <x:v/>
      </x:c>
      <x:c r="J25" s="3" t="str">
        <x:f>IF(I25="","",IF(I25&lt;=104,"진출",""))</x:f>
        <x:v/>
      </x:c>
      <x:c r="K25" s="3" t="str">
        <x:f>IF(J25="진출",I25,"")</x:f>
        <x:v/>
      </x:c>
      <x:c r="L25" s="4"/>
      <x:c r="M25" s="3" t="str">
        <x:f>IF(OR(F25="",L25=""),"",F25+L25)</x:f>
        <x:v/>
      </x:c>
    </x:row>
    <x:row r="26" spans="1:13">
      <x:c r="A26" s="3">
        <x:f>'1_참가선수입력'!A26</x:f>
        <x:v>23</x:v>
      </x:c>
      <x:c r="B26" s="3">
        <x:f>'1_참가선수입력'!E26</x:f>
        <x:v>0</x:v>
      </x:c>
      <x:c r="C26" s="3">
        <x:f>'1_참가선수입력'!C26</x:f>
        <x:v>0</x:v>
      </x:c>
      <x:c r="D26" s="3">
        <x:f>'1_참가선수입력'!D26</x:f>
        <x:v>0</x:v>
      </x:c>
      <x:c r="E26" s="3">
        <x:f>'1_참가선수입력'!F26</x:f>
        <x:v>0</x:v>
      </x:c>
      <x:c r="F26" s="4"/>
      <x:c r="G26" s="4"/>
      <x:c r="H26" s="3" t="str">
        <x:f>IF(F26="","",F26+A26/10000)</x:f>
        <x:v/>
      </x:c>
      <x:c r="I26" s="3" t="str">
        <x:f>IF(F26="","",RANK(H26,$H$4:$H$213,1))</x:f>
        <x:v/>
      </x:c>
      <x:c r="J26" s="3" t="str">
        <x:f>IF(I26="","",IF(I26&lt;=104,"진출",""))</x:f>
        <x:v/>
      </x:c>
      <x:c r="K26" s="3" t="str">
        <x:f>IF(J26="진출",I26,"")</x:f>
        <x:v/>
      </x:c>
      <x:c r="L26" s="4"/>
      <x:c r="M26" s="3" t="str">
        <x:f>IF(OR(F26="",L26=""),"",F26+L26)</x:f>
        <x:v/>
      </x:c>
    </x:row>
    <x:row r="27" spans="1:13">
      <x:c r="A27" s="3">
        <x:f>'1_참가선수입력'!A27</x:f>
        <x:v>24</x:v>
      </x:c>
      <x:c r="B27" s="3">
        <x:f>'1_참가선수입력'!E27</x:f>
        <x:v>0</x:v>
      </x:c>
      <x:c r="C27" s="3">
        <x:f>'1_참가선수입력'!C27</x:f>
        <x:v>0</x:v>
      </x:c>
      <x:c r="D27" s="3">
        <x:f>'1_참가선수입력'!D27</x:f>
        <x:v>0</x:v>
      </x:c>
      <x:c r="E27" s="3">
        <x:f>'1_참가선수입력'!F27</x:f>
        <x:v>0</x:v>
      </x:c>
      <x:c r="F27" s="4"/>
      <x:c r="G27" s="4"/>
      <x:c r="H27" s="3" t="str">
        <x:f>IF(F27="","",F27+A27/10000)</x:f>
        <x:v/>
      </x:c>
      <x:c r="I27" s="3" t="str">
        <x:f>IF(F27="","",RANK(H27,$H$4:$H$213,1))</x:f>
        <x:v/>
      </x:c>
      <x:c r="J27" s="3" t="str">
        <x:f>IF(I27="","",IF(I27&lt;=104,"진출",""))</x:f>
        <x:v/>
      </x:c>
      <x:c r="K27" s="3" t="str">
        <x:f>IF(J27="진출",I27,"")</x:f>
        <x:v/>
      </x:c>
      <x:c r="L27" s="4"/>
      <x:c r="M27" s="3" t="str">
        <x:f>IF(OR(F27="",L27=""),"",F27+L27)</x:f>
        <x:v/>
      </x:c>
    </x:row>
    <x:row r="28" spans="1:13">
      <x:c r="A28" s="3">
        <x:f>'1_참가선수입력'!A28</x:f>
        <x:v>25</x:v>
      </x:c>
      <x:c r="B28" s="3">
        <x:f>'1_참가선수입력'!E28</x:f>
        <x:v>0</x:v>
      </x:c>
      <x:c r="C28" s="3">
        <x:f>'1_참가선수입력'!C28</x:f>
        <x:v>0</x:v>
      </x:c>
      <x:c r="D28" s="3">
        <x:f>'1_참가선수입력'!D28</x:f>
        <x:v>0</x:v>
      </x:c>
      <x:c r="E28" s="3">
        <x:f>'1_참가선수입력'!F28</x:f>
        <x:v>0</x:v>
      </x:c>
      <x:c r="F28" s="4"/>
      <x:c r="G28" s="4"/>
      <x:c r="H28" s="3" t="str">
        <x:f>IF(F28="","",F28+A28/10000)</x:f>
        <x:v/>
      </x:c>
      <x:c r="I28" s="3" t="str">
        <x:f>IF(F28="","",RANK(H28,$H$4:$H$213,1))</x:f>
        <x:v/>
      </x:c>
      <x:c r="J28" s="3" t="str">
        <x:f>IF(I28="","",IF(I28&lt;=104,"진출",""))</x:f>
        <x:v/>
      </x:c>
      <x:c r="K28" s="3" t="str">
        <x:f>IF(J28="진출",I28,"")</x:f>
        <x:v/>
      </x:c>
      <x:c r="L28" s="4"/>
      <x:c r="M28" s="3" t="str">
        <x:f>IF(OR(F28="",L28=""),"",F28+L28)</x:f>
        <x:v/>
      </x:c>
    </x:row>
    <x:row r="29" spans="1:13">
      <x:c r="A29" s="3">
        <x:f>'1_참가선수입력'!A29</x:f>
        <x:v>26</x:v>
      </x:c>
      <x:c r="B29" s="3">
        <x:f>'1_참가선수입력'!E29</x:f>
        <x:v>0</x:v>
      </x:c>
      <x:c r="C29" s="3">
        <x:f>'1_참가선수입력'!C29</x:f>
        <x:v>0</x:v>
      </x:c>
      <x:c r="D29" s="3">
        <x:f>'1_참가선수입력'!D29</x:f>
        <x:v>0</x:v>
      </x:c>
      <x:c r="E29" s="3">
        <x:f>'1_참가선수입력'!F29</x:f>
        <x:v>0</x:v>
      </x:c>
      <x:c r="F29" s="4"/>
      <x:c r="G29" s="4"/>
      <x:c r="H29" s="3" t="str">
        <x:f>IF(F29="","",F29+A29/10000)</x:f>
        <x:v/>
      </x:c>
      <x:c r="I29" s="3" t="str">
        <x:f>IF(F29="","",RANK(H29,$H$4:$H$213,1))</x:f>
        <x:v/>
      </x:c>
      <x:c r="J29" s="3" t="str">
        <x:f>IF(I29="","",IF(I29&lt;=104,"진출",""))</x:f>
        <x:v/>
      </x:c>
      <x:c r="K29" s="3" t="str">
        <x:f>IF(J29="진출",I29,"")</x:f>
        <x:v/>
      </x:c>
      <x:c r="L29" s="4"/>
      <x:c r="M29" s="3" t="str">
        <x:f>IF(OR(F29="",L29=""),"",F29+L29)</x:f>
        <x:v/>
      </x:c>
    </x:row>
    <x:row r="30" spans="1:13">
      <x:c r="A30" s="3">
        <x:f>'1_참가선수입력'!A30</x:f>
        <x:v>27</x:v>
      </x:c>
      <x:c r="B30" s="3">
        <x:f>'1_참가선수입력'!E30</x:f>
        <x:v>0</x:v>
      </x:c>
      <x:c r="C30" s="3">
        <x:f>'1_참가선수입력'!C30</x:f>
        <x:v>0</x:v>
      </x:c>
      <x:c r="D30" s="3">
        <x:f>'1_참가선수입력'!D30</x:f>
        <x:v>0</x:v>
      </x:c>
      <x:c r="E30" s="3">
        <x:f>'1_참가선수입력'!F30</x:f>
        <x:v>0</x:v>
      </x:c>
      <x:c r="F30" s="4"/>
      <x:c r="G30" s="4"/>
      <x:c r="H30" s="3" t="str">
        <x:f>IF(F30="","",F30+A30/10000)</x:f>
        <x:v/>
      </x:c>
      <x:c r="I30" s="3" t="str">
        <x:f>IF(F30="","",RANK(H30,$H$4:$H$213,1))</x:f>
        <x:v/>
      </x:c>
      <x:c r="J30" s="3" t="str">
        <x:f>IF(I30="","",IF(I30&lt;=104,"진출",""))</x:f>
        <x:v/>
      </x:c>
      <x:c r="K30" s="3" t="str">
        <x:f>IF(J30="진출",I30,"")</x:f>
        <x:v/>
      </x:c>
      <x:c r="L30" s="4"/>
      <x:c r="M30" s="3" t="str">
        <x:f>IF(OR(F30="",L30=""),"",F30+L30)</x:f>
        <x:v/>
      </x:c>
    </x:row>
    <x:row r="31" spans="1:13">
      <x:c r="A31" s="3">
        <x:f>'1_참가선수입력'!A31</x:f>
        <x:v>28</x:v>
      </x:c>
      <x:c r="B31" s="3">
        <x:f>'1_참가선수입력'!E31</x:f>
        <x:v>0</x:v>
      </x:c>
      <x:c r="C31" s="3">
        <x:f>'1_참가선수입력'!C31</x:f>
        <x:v>0</x:v>
      </x:c>
      <x:c r="D31" s="3">
        <x:f>'1_참가선수입력'!D31</x:f>
        <x:v>0</x:v>
      </x:c>
      <x:c r="E31" s="3">
        <x:f>'1_참가선수입력'!F31</x:f>
        <x:v>0</x:v>
      </x:c>
      <x:c r="F31" s="4"/>
      <x:c r="G31" s="4"/>
      <x:c r="H31" s="3" t="str">
        <x:f>IF(F31="","",F31+A31/10000)</x:f>
        <x:v/>
      </x:c>
      <x:c r="I31" s="3" t="str">
        <x:f>IF(F31="","",RANK(H31,$H$4:$H$213,1))</x:f>
        <x:v/>
      </x:c>
      <x:c r="J31" s="3" t="str">
        <x:f>IF(I31="","",IF(I31&lt;=104,"진출",""))</x:f>
        <x:v/>
      </x:c>
      <x:c r="K31" s="3" t="str">
        <x:f>IF(J31="진출",I31,"")</x:f>
        <x:v/>
      </x:c>
      <x:c r="L31" s="4"/>
      <x:c r="M31" s="3" t="str">
        <x:f>IF(OR(F31="",L31=""),"",F31+L31)</x:f>
        <x:v/>
      </x:c>
    </x:row>
    <x:row r="32" spans="1:13">
      <x:c r="A32" s="3">
        <x:f>'1_참가선수입력'!A32</x:f>
        <x:v>29</x:v>
      </x:c>
      <x:c r="B32" s="3">
        <x:f>'1_참가선수입력'!E32</x:f>
        <x:v>0</x:v>
      </x:c>
      <x:c r="C32" s="3">
        <x:f>'1_참가선수입력'!C32</x:f>
        <x:v>0</x:v>
      </x:c>
      <x:c r="D32" s="3">
        <x:f>'1_참가선수입력'!D32</x:f>
        <x:v>0</x:v>
      </x:c>
      <x:c r="E32" s="3">
        <x:f>'1_참가선수입력'!F32</x:f>
        <x:v>0</x:v>
      </x:c>
      <x:c r="F32" s="4"/>
      <x:c r="G32" s="4"/>
      <x:c r="H32" s="3" t="str">
        <x:f>IF(F32="","",F32+A32/10000)</x:f>
        <x:v/>
      </x:c>
      <x:c r="I32" s="3" t="str">
        <x:f>IF(F32="","",RANK(H32,$H$4:$H$213,1))</x:f>
        <x:v/>
      </x:c>
      <x:c r="J32" s="3" t="str">
        <x:f>IF(I32="","",IF(I32&lt;=104,"진출",""))</x:f>
        <x:v/>
      </x:c>
      <x:c r="K32" s="3" t="str">
        <x:f>IF(J32="진출",I32,"")</x:f>
        <x:v/>
      </x:c>
      <x:c r="L32" s="4"/>
      <x:c r="M32" s="3" t="str">
        <x:f>IF(OR(F32="",L32=""),"",F32+L32)</x:f>
        <x:v/>
      </x:c>
    </x:row>
    <x:row r="33" spans="1:13">
      <x:c r="A33" s="3">
        <x:f>'1_참가선수입력'!A33</x:f>
        <x:v>30</x:v>
      </x:c>
      <x:c r="B33" s="3">
        <x:f>'1_참가선수입력'!E33</x:f>
        <x:v>0</x:v>
      </x:c>
      <x:c r="C33" s="3">
        <x:f>'1_참가선수입력'!C33</x:f>
        <x:v>0</x:v>
      </x:c>
      <x:c r="D33" s="3">
        <x:f>'1_참가선수입력'!D33</x:f>
        <x:v>0</x:v>
      </x:c>
      <x:c r="E33" s="3">
        <x:f>'1_참가선수입력'!F33</x:f>
        <x:v>0</x:v>
      </x:c>
      <x:c r="F33" s="4"/>
      <x:c r="G33" s="4"/>
      <x:c r="H33" s="3" t="str">
        <x:f>IF(F33="","",F33+A33/10000)</x:f>
        <x:v/>
      </x:c>
      <x:c r="I33" s="3" t="str">
        <x:f>IF(F33="","",RANK(H33,$H$4:$H$213,1))</x:f>
        <x:v/>
      </x:c>
      <x:c r="J33" s="3" t="str">
        <x:f>IF(I33="","",IF(I33&lt;=104,"진출",""))</x:f>
        <x:v/>
      </x:c>
      <x:c r="K33" s="3" t="str">
        <x:f>IF(J33="진출",I33,"")</x:f>
        <x:v/>
      </x:c>
      <x:c r="L33" s="4"/>
      <x:c r="M33" s="3" t="str">
        <x:f>IF(OR(F33="",L33=""),"",F33+L33)</x:f>
        <x:v/>
      </x:c>
    </x:row>
    <x:row r="34" spans="1:13">
      <x:c r="A34" s="3">
        <x:f>'1_참가선수입력'!A34</x:f>
        <x:v>31</x:v>
      </x:c>
      <x:c r="B34" s="3">
        <x:f>'1_참가선수입력'!E34</x:f>
        <x:v>0</x:v>
      </x:c>
      <x:c r="C34" s="3">
        <x:f>'1_참가선수입력'!C34</x:f>
        <x:v>0</x:v>
      </x:c>
      <x:c r="D34" s="3">
        <x:f>'1_참가선수입력'!D34</x:f>
        <x:v>0</x:v>
      </x:c>
      <x:c r="E34" s="3">
        <x:f>'1_참가선수입력'!F34</x:f>
        <x:v>0</x:v>
      </x:c>
      <x:c r="F34" s="4"/>
      <x:c r="G34" s="4"/>
      <x:c r="H34" s="3" t="str">
        <x:f>IF(F34="","",F34+A34/10000)</x:f>
        <x:v/>
      </x:c>
      <x:c r="I34" s="3" t="str">
        <x:f>IF(F34="","",RANK(H34,$H$4:$H$213,1))</x:f>
        <x:v/>
      </x:c>
      <x:c r="J34" s="3" t="str">
        <x:f>IF(I34="","",IF(I34&lt;=104,"진출",""))</x:f>
        <x:v/>
      </x:c>
      <x:c r="K34" s="3" t="str">
        <x:f>IF(J34="진출",I34,"")</x:f>
        <x:v/>
      </x:c>
      <x:c r="L34" s="4"/>
      <x:c r="M34" s="3" t="str">
        <x:f>IF(OR(F34="",L34=""),"",F34+L34)</x:f>
        <x:v/>
      </x:c>
    </x:row>
    <x:row r="35" spans="1:13">
      <x:c r="A35" s="3">
        <x:f>'1_참가선수입력'!A35</x:f>
        <x:v>32</x:v>
      </x:c>
      <x:c r="B35" s="3">
        <x:f>'1_참가선수입력'!E35</x:f>
        <x:v>0</x:v>
      </x:c>
      <x:c r="C35" s="3">
        <x:f>'1_참가선수입력'!C35</x:f>
        <x:v>0</x:v>
      </x:c>
      <x:c r="D35" s="3">
        <x:f>'1_참가선수입력'!D35</x:f>
        <x:v>0</x:v>
      </x:c>
      <x:c r="E35" s="3">
        <x:f>'1_참가선수입력'!F35</x:f>
        <x:v>0</x:v>
      </x:c>
      <x:c r="F35" s="4"/>
      <x:c r="G35" s="4"/>
      <x:c r="H35" s="3" t="str">
        <x:f>IF(F35="","",F35+A35/10000)</x:f>
        <x:v/>
      </x:c>
      <x:c r="I35" s="3" t="str">
        <x:f>IF(F35="","",RANK(H35,$H$4:$H$213,1))</x:f>
        <x:v/>
      </x:c>
      <x:c r="J35" s="3" t="str">
        <x:f>IF(I35="","",IF(I35&lt;=104,"진출",""))</x:f>
        <x:v/>
      </x:c>
      <x:c r="K35" s="3" t="str">
        <x:f>IF(J35="진출",I35,"")</x:f>
        <x:v/>
      </x:c>
      <x:c r="L35" s="4"/>
      <x:c r="M35" s="3" t="str">
        <x:f>IF(OR(F35="",L35=""),"",F35+L35)</x:f>
        <x:v/>
      </x:c>
    </x:row>
    <x:row r="36" spans="1:13">
      <x:c r="A36" s="3">
        <x:f>'1_참가선수입력'!A36</x:f>
        <x:v>33</x:v>
      </x:c>
      <x:c r="B36" s="3">
        <x:f>'1_참가선수입력'!E36</x:f>
        <x:v>0</x:v>
      </x:c>
      <x:c r="C36" s="3">
        <x:f>'1_참가선수입력'!C36</x:f>
        <x:v>0</x:v>
      </x:c>
      <x:c r="D36" s="3">
        <x:f>'1_참가선수입력'!D36</x:f>
        <x:v>0</x:v>
      </x:c>
      <x:c r="E36" s="3">
        <x:f>'1_참가선수입력'!F36</x:f>
        <x:v>0</x:v>
      </x:c>
      <x:c r="F36" s="4"/>
      <x:c r="G36" s="4"/>
      <x:c r="H36" s="3" t="str">
        <x:f>IF(F36="","",F36+A36/10000)</x:f>
        <x:v/>
      </x:c>
      <x:c r="I36" s="3" t="str">
        <x:f>IF(F36="","",RANK(H36,$H$4:$H$213,1))</x:f>
        <x:v/>
      </x:c>
      <x:c r="J36" s="3" t="str">
        <x:f>IF(I36="","",IF(I36&lt;=104,"진출",""))</x:f>
        <x:v/>
      </x:c>
      <x:c r="K36" s="3" t="str">
        <x:f>IF(J36="진출",I36,"")</x:f>
        <x:v/>
      </x:c>
      <x:c r="L36" s="4"/>
      <x:c r="M36" s="3" t="str">
        <x:f>IF(OR(F36="",L36=""),"",F36+L36)</x:f>
        <x:v/>
      </x:c>
    </x:row>
    <x:row r="37" spans="1:13">
      <x:c r="A37" s="3">
        <x:f>'1_참가선수입력'!A37</x:f>
        <x:v>34</x:v>
      </x:c>
      <x:c r="B37" s="3">
        <x:f>'1_참가선수입력'!E37</x:f>
        <x:v>0</x:v>
      </x:c>
      <x:c r="C37" s="3">
        <x:f>'1_참가선수입력'!C37</x:f>
        <x:v>0</x:v>
      </x:c>
      <x:c r="D37" s="3">
        <x:f>'1_참가선수입력'!D37</x:f>
        <x:v>0</x:v>
      </x:c>
      <x:c r="E37" s="3">
        <x:f>'1_참가선수입력'!F37</x:f>
        <x:v>0</x:v>
      </x:c>
      <x:c r="F37" s="4"/>
      <x:c r="G37" s="4"/>
      <x:c r="H37" s="3" t="str">
        <x:f>IF(F37="","",F37+A37/10000)</x:f>
        <x:v/>
      </x:c>
      <x:c r="I37" s="3" t="str">
        <x:f>IF(F37="","",RANK(H37,$H$4:$H$213,1))</x:f>
        <x:v/>
      </x:c>
      <x:c r="J37" s="3" t="str">
        <x:f>IF(I37="","",IF(I37&lt;=104,"진출",""))</x:f>
        <x:v/>
      </x:c>
      <x:c r="K37" s="3" t="str">
        <x:f>IF(J37="진출",I37,"")</x:f>
        <x:v/>
      </x:c>
      <x:c r="L37" s="4"/>
      <x:c r="M37" s="3" t="str">
        <x:f>IF(OR(F37="",L37=""),"",F37+L37)</x:f>
        <x:v/>
      </x:c>
    </x:row>
    <x:row r="38" spans="1:13">
      <x:c r="A38" s="3">
        <x:f>'1_참가선수입력'!A38</x:f>
        <x:v>35</x:v>
      </x:c>
      <x:c r="B38" s="3">
        <x:f>'1_참가선수입력'!E38</x:f>
        <x:v>0</x:v>
      </x:c>
      <x:c r="C38" s="3">
        <x:f>'1_참가선수입력'!C38</x:f>
        <x:v>0</x:v>
      </x:c>
      <x:c r="D38" s="3">
        <x:f>'1_참가선수입력'!D38</x:f>
        <x:v>0</x:v>
      </x:c>
      <x:c r="E38" s="3">
        <x:f>'1_참가선수입력'!F38</x:f>
        <x:v>0</x:v>
      </x:c>
      <x:c r="F38" s="4"/>
      <x:c r="G38" s="4"/>
      <x:c r="H38" s="3" t="str">
        <x:f>IF(F38="","",F38+A38/10000)</x:f>
        <x:v/>
      </x:c>
      <x:c r="I38" s="3" t="str">
        <x:f>IF(F38="","",RANK(H38,$H$4:$H$213,1))</x:f>
        <x:v/>
      </x:c>
      <x:c r="J38" s="3" t="str">
        <x:f>IF(I38="","",IF(I38&lt;=104,"진출",""))</x:f>
        <x:v/>
      </x:c>
      <x:c r="K38" s="3" t="str">
        <x:f>IF(J38="진출",I38,"")</x:f>
        <x:v/>
      </x:c>
      <x:c r="L38" s="4"/>
      <x:c r="M38" s="3" t="str">
        <x:f>IF(OR(F38="",L38=""),"",F38+L38)</x:f>
        <x:v/>
      </x:c>
    </x:row>
    <x:row r="39" spans="1:13">
      <x:c r="A39" s="3">
        <x:f>'1_참가선수입력'!A39</x:f>
        <x:v>36</x:v>
      </x:c>
      <x:c r="B39" s="3">
        <x:f>'1_참가선수입력'!E39</x:f>
        <x:v>0</x:v>
      </x:c>
      <x:c r="C39" s="3">
        <x:f>'1_참가선수입력'!C39</x:f>
        <x:v>0</x:v>
      </x:c>
      <x:c r="D39" s="3">
        <x:f>'1_참가선수입력'!D39</x:f>
        <x:v>0</x:v>
      </x:c>
      <x:c r="E39" s="3">
        <x:f>'1_참가선수입력'!F39</x:f>
        <x:v>0</x:v>
      </x:c>
      <x:c r="F39" s="4"/>
      <x:c r="G39" s="4"/>
      <x:c r="H39" s="3" t="str">
        <x:f>IF(F39="","",F39+A39/10000)</x:f>
        <x:v/>
      </x:c>
      <x:c r="I39" s="3" t="str">
        <x:f>IF(F39="","",RANK(H39,$H$4:$H$213,1))</x:f>
        <x:v/>
      </x:c>
      <x:c r="J39" s="3" t="str">
        <x:f>IF(I39="","",IF(I39&lt;=104,"진출",""))</x:f>
        <x:v/>
      </x:c>
      <x:c r="K39" s="3" t="str">
        <x:f>IF(J39="진출",I39,"")</x:f>
        <x:v/>
      </x:c>
      <x:c r="L39" s="4"/>
      <x:c r="M39" s="3" t="str">
        <x:f>IF(OR(F39="",L39=""),"",F39+L39)</x:f>
        <x:v/>
      </x:c>
    </x:row>
    <x:row r="40" spans="1:13">
      <x:c r="A40" s="3">
        <x:f>'1_참가선수입력'!A40</x:f>
        <x:v>37</x:v>
      </x:c>
      <x:c r="B40" s="3">
        <x:f>'1_참가선수입력'!E40</x:f>
        <x:v>0</x:v>
      </x:c>
      <x:c r="C40" s="3">
        <x:f>'1_참가선수입력'!C40</x:f>
        <x:v>0</x:v>
      </x:c>
      <x:c r="D40" s="3">
        <x:f>'1_참가선수입력'!D40</x:f>
        <x:v>0</x:v>
      </x:c>
      <x:c r="E40" s="3">
        <x:f>'1_참가선수입력'!F40</x:f>
        <x:v>0</x:v>
      </x:c>
      <x:c r="F40" s="4"/>
      <x:c r="G40" s="4"/>
      <x:c r="H40" s="3" t="str">
        <x:f>IF(F40="","",F40+A40/10000)</x:f>
        <x:v/>
      </x:c>
      <x:c r="I40" s="3" t="str">
        <x:f>IF(F40="","",RANK(H40,$H$4:$H$213,1))</x:f>
        <x:v/>
      </x:c>
      <x:c r="J40" s="3" t="str">
        <x:f>IF(I40="","",IF(I40&lt;=104,"진출",""))</x:f>
        <x:v/>
      </x:c>
      <x:c r="K40" s="3" t="str">
        <x:f>IF(J40="진출",I40,"")</x:f>
        <x:v/>
      </x:c>
      <x:c r="L40" s="4"/>
      <x:c r="M40" s="3" t="str">
        <x:f>IF(OR(F40="",L40=""),"",F40+L40)</x:f>
        <x:v/>
      </x:c>
    </x:row>
    <x:row r="41" spans="1:13">
      <x:c r="A41" s="3">
        <x:f>'1_참가선수입력'!A41</x:f>
        <x:v>38</x:v>
      </x:c>
      <x:c r="B41" s="3">
        <x:f>'1_참가선수입력'!E41</x:f>
        <x:v>0</x:v>
      </x:c>
      <x:c r="C41" s="3">
        <x:f>'1_참가선수입력'!C41</x:f>
        <x:v>0</x:v>
      </x:c>
      <x:c r="D41" s="3">
        <x:f>'1_참가선수입력'!D41</x:f>
        <x:v>0</x:v>
      </x:c>
      <x:c r="E41" s="3">
        <x:f>'1_참가선수입력'!F41</x:f>
        <x:v>0</x:v>
      </x:c>
      <x:c r="F41" s="4"/>
      <x:c r="G41" s="4"/>
      <x:c r="H41" s="3" t="str">
        <x:f>IF(F41="","",F41+A41/10000)</x:f>
        <x:v/>
      </x:c>
      <x:c r="I41" s="3" t="str">
        <x:f>IF(F41="","",RANK(H41,$H$4:$H$213,1))</x:f>
        <x:v/>
      </x:c>
      <x:c r="J41" s="3" t="str">
        <x:f>IF(I41="","",IF(I41&lt;=104,"진출",""))</x:f>
        <x:v/>
      </x:c>
      <x:c r="K41" s="3" t="str">
        <x:f>IF(J41="진출",I41,"")</x:f>
        <x:v/>
      </x:c>
      <x:c r="L41" s="4"/>
      <x:c r="M41" s="3" t="str">
        <x:f>IF(OR(F41="",L41=""),"",F41+L41)</x:f>
        <x:v/>
      </x:c>
    </x:row>
    <x:row r="42" spans="1:13">
      <x:c r="A42" s="3">
        <x:f>'1_참가선수입력'!A42</x:f>
        <x:v>39</x:v>
      </x:c>
      <x:c r="B42" s="3">
        <x:f>'1_참가선수입력'!E42</x:f>
        <x:v>0</x:v>
      </x:c>
      <x:c r="C42" s="3">
        <x:f>'1_참가선수입력'!C42</x:f>
        <x:v>0</x:v>
      </x:c>
      <x:c r="D42" s="3">
        <x:f>'1_참가선수입력'!D42</x:f>
        <x:v>0</x:v>
      </x:c>
      <x:c r="E42" s="3">
        <x:f>'1_참가선수입력'!F42</x:f>
        <x:v>0</x:v>
      </x:c>
      <x:c r="F42" s="4"/>
      <x:c r="G42" s="4"/>
      <x:c r="H42" s="3" t="str">
        <x:f>IF(F42="","",F42+A42/10000)</x:f>
        <x:v/>
      </x:c>
      <x:c r="I42" s="3" t="str">
        <x:f>IF(F42="","",RANK(H42,$H$4:$H$213,1))</x:f>
        <x:v/>
      </x:c>
      <x:c r="J42" s="3" t="str">
        <x:f>IF(I42="","",IF(I42&lt;=104,"진출",""))</x:f>
        <x:v/>
      </x:c>
      <x:c r="K42" s="3" t="str">
        <x:f>IF(J42="진출",I42,"")</x:f>
        <x:v/>
      </x:c>
      <x:c r="L42" s="4"/>
      <x:c r="M42" s="3" t="str">
        <x:f>IF(OR(F42="",L42=""),"",F42+L42)</x:f>
        <x:v/>
      </x:c>
    </x:row>
    <x:row r="43" spans="1:13">
      <x:c r="A43" s="3">
        <x:f>'1_참가선수입력'!A43</x:f>
        <x:v>40</x:v>
      </x:c>
      <x:c r="B43" s="3">
        <x:f>'1_참가선수입력'!E43</x:f>
        <x:v>0</x:v>
      </x:c>
      <x:c r="C43" s="3">
        <x:f>'1_참가선수입력'!C43</x:f>
        <x:v>0</x:v>
      </x:c>
      <x:c r="D43" s="3">
        <x:f>'1_참가선수입력'!D43</x:f>
        <x:v>0</x:v>
      </x:c>
      <x:c r="E43" s="3">
        <x:f>'1_참가선수입력'!F43</x:f>
        <x:v>0</x:v>
      </x:c>
      <x:c r="F43" s="4"/>
      <x:c r="G43" s="4"/>
      <x:c r="H43" s="3" t="str">
        <x:f>IF(F43="","",F43+A43/10000)</x:f>
        <x:v/>
      </x:c>
      <x:c r="I43" s="3" t="str">
        <x:f>IF(F43="","",RANK(H43,$H$4:$H$213,1))</x:f>
        <x:v/>
      </x:c>
      <x:c r="J43" s="3" t="str">
        <x:f>IF(I43="","",IF(I43&lt;=104,"진출",""))</x:f>
        <x:v/>
      </x:c>
      <x:c r="K43" s="3" t="str">
        <x:f>IF(J43="진출",I43,"")</x:f>
        <x:v/>
      </x:c>
      <x:c r="L43" s="4"/>
      <x:c r="M43" s="3" t="str">
        <x:f>IF(OR(F43="",L43=""),"",F43+L43)</x:f>
        <x:v/>
      </x:c>
    </x:row>
    <x:row r="44" spans="1:13">
      <x:c r="A44" s="3">
        <x:f>'1_참가선수입력'!A44</x:f>
        <x:v>41</x:v>
      </x:c>
      <x:c r="B44" s="3">
        <x:f>'1_참가선수입력'!E44</x:f>
        <x:v>0</x:v>
      </x:c>
      <x:c r="C44" s="3">
        <x:f>'1_참가선수입력'!C44</x:f>
        <x:v>0</x:v>
      </x:c>
      <x:c r="D44" s="3">
        <x:f>'1_참가선수입력'!D44</x:f>
        <x:v>0</x:v>
      </x:c>
      <x:c r="E44" s="3">
        <x:f>'1_참가선수입력'!F44</x:f>
        <x:v>0</x:v>
      </x:c>
      <x:c r="F44" s="4"/>
      <x:c r="G44" s="4"/>
      <x:c r="H44" s="3" t="str">
        <x:f>IF(F44="","",F44+A44/10000)</x:f>
        <x:v/>
      </x:c>
      <x:c r="I44" s="3" t="str">
        <x:f>IF(F44="","",RANK(H44,$H$4:$H$213,1))</x:f>
        <x:v/>
      </x:c>
      <x:c r="J44" s="3" t="str">
        <x:f>IF(I44="","",IF(I44&lt;=104,"진출",""))</x:f>
        <x:v/>
      </x:c>
      <x:c r="K44" s="3" t="str">
        <x:f>IF(J44="진출",I44,"")</x:f>
        <x:v/>
      </x:c>
      <x:c r="L44" s="4"/>
      <x:c r="M44" s="3" t="str">
        <x:f>IF(OR(F44="",L44=""),"",F44+L44)</x:f>
        <x:v/>
      </x:c>
    </x:row>
    <x:row r="45" spans="1:13">
      <x:c r="A45" s="3">
        <x:f>'1_참가선수입력'!A45</x:f>
        <x:v>42</x:v>
      </x:c>
      <x:c r="B45" s="3">
        <x:f>'1_참가선수입력'!E45</x:f>
        <x:v>0</x:v>
      </x:c>
      <x:c r="C45" s="3">
        <x:f>'1_참가선수입력'!C45</x:f>
        <x:v>0</x:v>
      </x:c>
      <x:c r="D45" s="3">
        <x:f>'1_참가선수입력'!D45</x:f>
        <x:v>0</x:v>
      </x:c>
      <x:c r="E45" s="3">
        <x:f>'1_참가선수입력'!F45</x:f>
        <x:v>0</x:v>
      </x:c>
      <x:c r="F45" s="4"/>
      <x:c r="G45" s="4"/>
      <x:c r="H45" s="3" t="str">
        <x:f>IF(F45="","",F45+A45/10000)</x:f>
        <x:v/>
      </x:c>
      <x:c r="I45" s="3" t="str">
        <x:f>IF(F45="","",RANK(H45,$H$4:$H$213,1))</x:f>
        <x:v/>
      </x:c>
      <x:c r="J45" s="3" t="str">
        <x:f>IF(I45="","",IF(I45&lt;=104,"진출",""))</x:f>
        <x:v/>
      </x:c>
      <x:c r="K45" s="3" t="str">
        <x:f>IF(J45="진출",I45,"")</x:f>
        <x:v/>
      </x:c>
      <x:c r="L45" s="4"/>
      <x:c r="M45" s="3" t="str">
        <x:f>IF(OR(F45="",L45=""),"",F45+L45)</x:f>
        <x:v/>
      </x:c>
    </x:row>
    <x:row r="46" spans="1:13">
      <x:c r="A46" s="3">
        <x:f>'1_참가선수입력'!A46</x:f>
        <x:v>43</x:v>
      </x:c>
      <x:c r="B46" s="3">
        <x:f>'1_참가선수입력'!E46</x:f>
        <x:v>0</x:v>
      </x:c>
      <x:c r="C46" s="3">
        <x:f>'1_참가선수입력'!C46</x:f>
        <x:v>0</x:v>
      </x:c>
      <x:c r="D46" s="3">
        <x:f>'1_참가선수입력'!D46</x:f>
        <x:v>0</x:v>
      </x:c>
      <x:c r="E46" s="3">
        <x:f>'1_참가선수입력'!F46</x:f>
        <x:v>0</x:v>
      </x:c>
      <x:c r="F46" s="4"/>
      <x:c r="G46" s="4"/>
      <x:c r="H46" s="3" t="str">
        <x:f>IF(F46="","",F46+A46/10000)</x:f>
        <x:v/>
      </x:c>
      <x:c r="I46" s="3" t="str">
        <x:f>IF(F46="","",RANK(H46,$H$4:$H$213,1))</x:f>
        <x:v/>
      </x:c>
      <x:c r="J46" s="3" t="str">
        <x:f>IF(I46="","",IF(I46&lt;=104,"진출",""))</x:f>
        <x:v/>
      </x:c>
      <x:c r="K46" s="3" t="str">
        <x:f>IF(J46="진출",I46,"")</x:f>
        <x:v/>
      </x:c>
      <x:c r="L46" s="4"/>
      <x:c r="M46" s="3" t="str">
        <x:f>IF(OR(F46="",L46=""),"",F46+L46)</x:f>
        <x:v/>
      </x:c>
    </x:row>
    <x:row r="47" spans="1:13">
      <x:c r="A47" s="3">
        <x:f>'1_참가선수입력'!A47</x:f>
        <x:v>44</x:v>
      </x:c>
      <x:c r="B47" s="3">
        <x:f>'1_참가선수입력'!E47</x:f>
        <x:v>0</x:v>
      </x:c>
      <x:c r="C47" s="3">
        <x:f>'1_참가선수입력'!C47</x:f>
        <x:v>0</x:v>
      </x:c>
      <x:c r="D47" s="3">
        <x:f>'1_참가선수입력'!D47</x:f>
        <x:v>0</x:v>
      </x:c>
      <x:c r="E47" s="3">
        <x:f>'1_참가선수입력'!F47</x:f>
        <x:v>0</x:v>
      </x:c>
      <x:c r="F47" s="4"/>
      <x:c r="G47" s="4"/>
      <x:c r="H47" s="3" t="str">
        <x:f>IF(F47="","",F47+A47/10000)</x:f>
        <x:v/>
      </x:c>
      <x:c r="I47" s="3" t="str">
        <x:f>IF(F47="","",RANK(H47,$H$4:$H$213,1))</x:f>
        <x:v/>
      </x:c>
      <x:c r="J47" s="3" t="str">
        <x:f>IF(I47="","",IF(I47&lt;=104,"진출",""))</x:f>
        <x:v/>
      </x:c>
      <x:c r="K47" s="3" t="str">
        <x:f>IF(J47="진출",I47,"")</x:f>
        <x:v/>
      </x:c>
      <x:c r="L47" s="4"/>
      <x:c r="M47" s="3" t="str">
        <x:f>IF(OR(F47="",L47=""),"",F47+L47)</x:f>
        <x:v/>
      </x:c>
    </x:row>
    <x:row r="48" spans="1:13">
      <x:c r="A48" s="3">
        <x:f>'1_참가선수입력'!A48</x:f>
        <x:v>45</x:v>
      </x:c>
      <x:c r="B48" s="3">
        <x:f>'1_참가선수입력'!E48</x:f>
        <x:v>0</x:v>
      </x:c>
      <x:c r="C48" s="3">
        <x:f>'1_참가선수입력'!C48</x:f>
        <x:v>0</x:v>
      </x:c>
      <x:c r="D48" s="3">
        <x:f>'1_참가선수입력'!D48</x:f>
        <x:v>0</x:v>
      </x:c>
      <x:c r="E48" s="3">
        <x:f>'1_참가선수입력'!F48</x:f>
        <x:v>0</x:v>
      </x:c>
      <x:c r="F48" s="4"/>
      <x:c r="G48" s="4"/>
      <x:c r="H48" s="3" t="str">
        <x:f>IF(F48="","",F48+A48/10000)</x:f>
        <x:v/>
      </x:c>
      <x:c r="I48" s="3" t="str">
        <x:f>IF(F48="","",RANK(H48,$H$4:$H$213,1))</x:f>
        <x:v/>
      </x:c>
      <x:c r="J48" s="3" t="str">
        <x:f>IF(I48="","",IF(I48&lt;=104,"진출",""))</x:f>
        <x:v/>
      </x:c>
      <x:c r="K48" s="3" t="str">
        <x:f>IF(J48="진출",I48,"")</x:f>
        <x:v/>
      </x:c>
      <x:c r="L48" s="4"/>
      <x:c r="M48" s="3" t="str">
        <x:f>IF(OR(F48="",L48=""),"",F48+L48)</x:f>
        <x:v/>
      </x:c>
    </x:row>
    <x:row r="49" spans="1:13">
      <x:c r="A49" s="3">
        <x:f>'1_참가선수입력'!A49</x:f>
        <x:v>46</x:v>
      </x:c>
      <x:c r="B49" s="3">
        <x:f>'1_참가선수입력'!E49</x:f>
        <x:v>0</x:v>
      </x:c>
      <x:c r="C49" s="3">
        <x:f>'1_참가선수입력'!C49</x:f>
        <x:v>0</x:v>
      </x:c>
      <x:c r="D49" s="3">
        <x:f>'1_참가선수입력'!D49</x:f>
        <x:v>0</x:v>
      </x:c>
      <x:c r="E49" s="3">
        <x:f>'1_참가선수입력'!F49</x:f>
        <x:v>0</x:v>
      </x:c>
      <x:c r="F49" s="4"/>
      <x:c r="G49" s="4"/>
      <x:c r="H49" s="3" t="str">
        <x:f>IF(F49="","",F49+A49/10000)</x:f>
        <x:v/>
      </x:c>
      <x:c r="I49" s="3" t="str">
        <x:f>IF(F49="","",RANK(H49,$H$4:$H$213,1))</x:f>
        <x:v/>
      </x:c>
      <x:c r="J49" s="3" t="str">
        <x:f>IF(I49="","",IF(I49&lt;=104,"진출",""))</x:f>
        <x:v/>
      </x:c>
      <x:c r="K49" s="3" t="str">
        <x:f>IF(J49="진출",I49,"")</x:f>
        <x:v/>
      </x:c>
      <x:c r="L49" s="4"/>
      <x:c r="M49" s="3" t="str">
        <x:f>IF(OR(F49="",L49=""),"",F49+L49)</x:f>
        <x:v/>
      </x:c>
    </x:row>
    <x:row r="50" spans="1:13">
      <x:c r="A50" s="3">
        <x:f>'1_참가선수입력'!A50</x:f>
        <x:v>47</x:v>
      </x:c>
      <x:c r="B50" s="3">
        <x:f>'1_참가선수입력'!E50</x:f>
        <x:v>0</x:v>
      </x:c>
      <x:c r="C50" s="3">
        <x:f>'1_참가선수입력'!C50</x:f>
        <x:v>0</x:v>
      </x:c>
      <x:c r="D50" s="3">
        <x:f>'1_참가선수입력'!D50</x:f>
        <x:v>0</x:v>
      </x:c>
      <x:c r="E50" s="3">
        <x:f>'1_참가선수입력'!F50</x:f>
        <x:v>0</x:v>
      </x:c>
      <x:c r="F50" s="4"/>
      <x:c r="G50" s="4"/>
      <x:c r="H50" s="3" t="str">
        <x:f>IF(F50="","",F50+A50/10000)</x:f>
        <x:v/>
      </x:c>
      <x:c r="I50" s="3" t="str">
        <x:f>IF(F50="","",RANK(H50,$H$4:$H$213,1))</x:f>
        <x:v/>
      </x:c>
      <x:c r="J50" s="3" t="str">
        <x:f>IF(I50="","",IF(I50&lt;=104,"진출",""))</x:f>
        <x:v/>
      </x:c>
      <x:c r="K50" s="3" t="str">
        <x:f>IF(J50="진출",I50,"")</x:f>
        <x:v/>
      </x:c>
      <x:c r="L50" s="4"/>
      <x:c r="M50" s="3" t="str">
        <x:f>IF(OR(F50="",L50=""),"",F50+L50)</x:f>
        <x:v/>
      </x:c>
    </x:row>
    <x:row r="51" spans="1:13">
      <x:c r="A51" s="3">
        <x:f>'1_참가선수입력'!A51</x:f>
        <x:v>48</x:v>
      </x:c>
      <x:c r="B51" s="3">
        <x:f>'1_참가선수입력'!E51</x:f>
        <x:v>0</x:v>
      </x:c>
      <x:c r="C51" s="3">
        <x:f>'1_참가선수입력'!C51</x:f>
        <x:v>0</x:v>
      </x:c>
      <x:c r="D51" s="3">
        <x:f>'1_참가선수입력'!D51</x:f>
        <x:v>0</x:v>
      </x:c>
      <x:c r="E51" s="3">
        <x:f>'1_참가선수입력'!F51</x:f>
        <x:v>0</x:v>
      </x:c>
      <x:c r="F51" s="4"/>
      <x:c r="G51" s="4"/>
      <x:c r="H51" s="3" t="str">
        <x:f>IF(F51="","",F51+A51/10000)</x:f>
        <x:v/>
      </x:c>
      <x:c r="I51" s="3" t="str">
        <x:f>IF(F51="","",RANK(H51,$H$4:$H$213,1))</x:f>
        <x:v/>
      </x:c>
      <x:c r="J51" s="3" t="str">
        <x:f>IF(I51="","",IF(I51&lt;=104,"진출",""))</x:f>
        <x:v/>
      </x:c>
      <x:c r="K51" s="3" t="str">
        <x:f>IF(J51="진출",I51,"")</x:f>
        <x:v/>
      </x:c>
      <x:c r="L51" s="4"/>
      <x:c r="M51" s="3" t="str">
        <x:f>IF(OR(F51="",L51=""),"",F51+L51)</x:f>
        <x:v/>
      </x:c>
    </x:row>
    <x:row r="52" spans="1:13">
      <x:c r="A52" s="3">
        <x:f>'1_참가선수입력'!A52</x:f>
        <x:v>49</x:v>
      </x:c>
      <x:c r="B52" s="3">
        <x:f>'1_참가선수입력'!E52</x:f>
        <x:v>0</x:v>
      </x:c>
      <x:c r="C52" s="3">
        <x:f>'1_참가선수입력'!C52</x:f>
        <x:v>0</x:v>
      </x:c>
      <x:c r="D52" s="3">
        <x:f>'1_참가선수입력'!D52</x:f>
        <x:v>0</x:v>
      </x:c>
      <x:c r="E52" s="3">
        <x:f>'1_참가선수입력'!F52</x:f>
        <x:v>0</x:v>
      </x:c>
      <x:c r="F52" s="4"/>
      <x:c r="G52" s="4"/>
      <x:c r="H52" s="3" t="str">
        <x:f>IF(F52="","",F52+A52/10000)</x:f>
        <x:v/>
      </x:c>
      <x:c r="I52" s="3" t="str">
        <x:f>IF(F52="","",RANK(H52,$H$4:$H$213,1))</x:f>
        <x:v/>
      </x:c>
      <x:c r="J52" s="3" t="str">
        <x:f>IF(I52="","",IF(I52&lt;=104,"진출",""))</x:f>
        <x:v/>
      </x:c>
      <x:c r="K52" s="3" t="str">
        <x:f>IF(J52="진출",I52,"")</x:f>
        <x:v/>
      </x:c>
      <x:c r="L52" s="4"/>
      <x:c r="M52" s="3" t="str">
        <x:f>IF(OR(F52="",L52=""),"",F52+L52)</x:f>
        <x:v/>
      </x:c>
    </x:row>
    <x:row r="53" spans="1:13">
      <x:c r="A53" s="3">
        <x:f>'1_참가선수입력'!A53</x:f>
        <x:v>50</x:v>
      </x:c>
      <x:c r="B53" s="3">
        <x:f>'1_참가선수입력'!E53</x:f>
        <x:v>0</x:v>
      </x:c>
      <x:c r="C53" s="3">
        <x:f>'1_참가선수입력'!C53</x:f>
        <x:v>0</x:v>
      </x:c>
      <x:c r="D53" s="3">
        <x:f>'1_참가선수입력'!D53</x:f>
        <x:v>0</x:v>
      </x:c>
      <x:c r="E53" s="3">
        <x:f>'1_참가선수입력'!F53</x:f>
        <x:v>0</x:v>
      </x:c>
      <x:c r="F53" s="4"/>
      <x:c r="G53" s="4"/>
      <x:c r="H53" s="3" t="str">
        <x:f>IF(F53="","",F53+A53/10000)</x:f>
        <x:v/>
      </x:c>
      <x:c r="I53" s="3" t="str">
        <x:f>IF(F53="","",RANK(H53,$H$4:$H$213,1))</x:f>
        <x:v/>
      </x:c>
      <x:c r="J53" s="3" t="str">
        <x:f>IF(I53="","",IF(I53&lt;=104,"진출",""))</x:f>
        <x:v/>
      </x:c>
      <x:c r="K53" s="3" t="str">
        <x:f>IF(J53="진출",I53,"")</x:f>
        <x:v/>
      </x:c>
      <x:c r="L53" s="4"/>
      <x:c r="M53" s="3" t="str">
        <x:f>IF(OR(F53="",L53=""),"",F53+L53)</x:f>
        <x:v/>
      </x:c>
    </x:row>
    <x:row r="54" spans="1:13">
      <x:c r="A54" s="3">
        <x:f>'1_참가선수입력'!A54</x:f>
        <x:v>51</x:v>
      </x:c>
      <x:c r="B54" s="3">
        <x:f>'1_참가선수입력'!E54</x:f>
        <x:v>0</x:v>
      </x:c>
      <x:c r="C54" s="3">
        <x:f>'1_참가선수입력'!C54</x:f>
        <x:v>0</x:v>
      </x:c>
      <x:c r="D54" s="3">
        <x:f>'1_참가선수입력'!D54</x:f>
        <x:v>0</x:v>
      </x:c>
      <x:c r="E54" s="3">
        <x:f>'1_참가선수입력'!F54</x:f>
        <x:v>0</x:v>
      </x:c>
      <x:c r="F54" s="4"/>
      <x:c r="G54" s="4"/>
      <x:c r="H54" s="3" t="str">
        <x:f>IF(F54="","",F54+A54/10000)</x:f>
        <x:v/>
      </x:c>
      <x:c r="I54" s="3" t="str">
        <x:f>IF(F54="","",RANK(H54,$H$4:$H$213,1))</x:f>
        <x:v/>
      </x:c>
      <x:c r="J54" s="3" t="str">
        <x:f>IF(I54="","",IF(I54&lt;=104,"진출",""))</x:f>
        <x:v/>
      </x:c>
      <x:c r="K54" s="3" t="str">
        <x:f>IF(J54="진출",I54,"")</x:f>
        <x:v/>
      </x:c>
      <x:c r="L54" s="4"/>
      <x:c r="M54" s="3" t="str">
        <x:f>IF(OR(F54="",L54=""),"",F54+L54)</x:f>
        <x:v/>
      </x:c>
    </x:row>
    <x:row r="55" spans="1:13">
      <x:c r="A55" s="3">
        <x:f>'1_참가선수입력'!A55</x:f>
        <x:v>52</x:v>
      </x:c>
      <x:c r="B55" s="3">
        <x:f>'1_참가선수입력'!E55</x:f>
        <x:v>0</x:v>
      </x:c>
      <x:c r="C55" s="3">
        <x:f>'1_참가선수입력'!C55</x:f>
        <x:v>0</x:v>
      </x:c>
      <x:c r="D55" s="3">
        <x:f>'1_참가선수입력'!D55</x:f>
        <x:v>0</x:v>
      </x:c>
      <x:c r="E55" s="3">
        <x:f>'1_참가선수입력'!F55</x:f>
        <x:v>0</x:v>
      </x:c>
      <x:c r="F55" s="4"/>
      <x:c r="G55" s="4"/>
      <x:c r="H55" s="3" t="str">
        <x:f>IF(F55="","",F55+A55/10000)</x:f>
        <x:v/>
      </x:c>
      <x:c r="I55" s="3" t="str">
        <x:f>IF(F55="","",RANK(H55,$H$4:$H$213,1))</x:f>
        <x:v/>
      </x:c>
      <x:c r="J55" s="3" t="str">
        <x:f>IF(I55="","",IF(I55&lt;=104,"진출",""))</x:f>
        <x:v/>
      </x:c>
      <x:c r="K55" s="3" t="str">
        <x:f>IF(J55="진출",I55,"")</x:f>
        <x:v/>
      </x:c>
      <x:c r="L55" s="4"/>
      <x:c r="M55" s="3" t="str">
        <x:f>IF(OR(F55="",L55=""),"",F55+L55)</x:f>
        <x:v/>
      </x:c>
    </x:row>
    <x:row r="56" spans="1:13">
      <x:c r="A56" s="3">
        <x:f>'1_참가선수입력'!A56</x:f>
        <x:v>53</x:v>
      </x:c>
      <x:c r="B56" s="3">
        <x:f>'1_참가선수입력'!E56</x:f>
        <x:v>0</x:v>
      </x:c>
      <x:c r="C56" s="3">
        <x:f>'1_참가선수입력'!C56</x:f>
        <x:v>0</x:v>
      </x:c>
      <x:c r="D56" s="3">
        <x:f>'1_참가선수입력'!D56</x:f>
        <x:v>0</x:v>
      </x:c>
      <x:c r="E56" s="3">
        <x:f>'1_참가선수입력'!F56</x:f>
        <x:v>0</x:v>
      </x:c>
      <x:c r="F56" s="4"/>
      <x:c r="G56" s="4"/>
      <x:c r="H56" s="3" t="str">
        <x:f>IF(F56="","",F56+A56/10000)</x:f>
        <x:v/>
      </x:c>
      <x:c r="I56" s="3" t="str">
        <x:f>IF(F56="","",RANK(H56,$H$4:$H$213,1))</x:f>
        <x:v/>
      </x:c>
      <x:c r="J56" s="3" t="str">
        <x:f>IF(I56="","",IF(I56&lt;=104,"진출",""))</x:f>
        <x:v/>
      </x:c>
      <x:c r="K56" s="3" t="str">
        <x:f>IF(J56="진출",I56,"")</x:f>
        <x:v/>
      </x:c>
      <x:c r="L56" s="4"/>
      <x:c r="M56" s="3" t="str">
        <x:f>IF(OR(F56="",L56=""),"",F56+L56)</x:f>
        <x:v/>
      </x:c>
    </x:row>
    <x:row r="57" spans="1:13">
      <x:c r="A57" s="3">
        <x:f>'1_참가선수입력'!A57</x:f>
        <x:v>54</x:v>
      </x:c>
      <x:c r="B57" s="3">
        <x:f>'1_참가선수입력'!E57</x:f>
        <x:v>0</x:v>
      </x:c>
      <x:c r="C57" s="3">
        <x:f>'1_참가선수입력'!C57</x:f>
        <x:v>0</x:v>
      </x:c>
      <x:c r="D57" s="3">
        <x:f>'1_참가선수입력'!D57</x:f>
        <x:v>0</x:v>
      </x:c>
      <x:c r="E57" s="3">
        <x:f>'1_참가선수입력'!F57</x:f>
        <x:v>0</x:v>
      </x:c>
      <x:c r="F57" s="4"/>
      <x:c r="G57" s="4"/>
      <x:c r="H57" s="3" t="str">
        <x:f>IF(F57="","",F57+A57/10000)</x:f>
        <x:v/>
      </x:c>
      <x:c r="I57" s="3" t="str">
        <x:f>IF(F57="","",RANK(H57,$H$4:$H$213,1))</x:f>
        <x:v/>
      </x:c>
      <x:c r="J57" s="3" t="str">
        <x:f>IF(I57="","",IF(I57&lt;=104,"진출",""))</x:f>
        <x:v/>
      </x:c>
      <x:c r="K57" s="3" t="str">
        <x:f>IF(J57="진출",I57,"")</x:f>
        <x:v/>
      </x:c>
      <x:c r="L57" s="4"/>
      <x:c r="M57" s="3" t="str">
        <x:f>IF(OR(F57="",L57=""),"",F57+L57)</x:f>
        <x:v/>
      </x:c>
    </x:row>
    <x:row r="58" spans="1:13">
      <x:c r="A58" s="3">
        <x:f>'1_참가선수입력'!A58</x:f>
        <x:v>55</x:v>
      </x:c>
      <x:c r="B58" s="3">
        <x:f>'1_참가선수입력'!E58</x:f>
        <x:v>0</x:v>
      </x:c>
      <x:c r="C58" s="3">
        <x:f>'1_참가선수입력'!C58</x:f>
        <x:v>0</x:v>
      </x:c>
      <x:c r="D58" s="3">
        <x:f>'1_참가선수입력'!D58</x:f>
        <x:v>0</x:v>
      </x:c>
      <x:c r="E58" s="3">
        <x:f>'1_참가선수입력'!F58</x:f>
        <x:v>0</x:v>
      </x:c>
      <x:c r="F58" s="4"/>
      <x:c r="G58" s="4"/>
      <x:c r="H58" s="3" t="str">
        <x:f>IF(F58="","",F58+A58/10000)</x:f>
        <x:v/>
      </x:c>
      <x:c r="I58" s="3" t="str">
        <x:f>IF(F58="","",RANK(H58,$H$4:$H$213,1))</x:f>
        <x:v/>
      </x:c>
      <x:c r="J58" s="3" t="str">
        <x:f>IF(I58="","",IF(I58&lt;=104,"진출",""))</x:f>
        <x:v/>
      </x:c>
      <x:c r="K58" s="3" t="str">
        <x:f>IF(J58="진출",I58,"")</x:f>
        <x:v/>
      </x:c>
      <x:c r="L58" s="4"/>
      <x:c r="M58" s="3" t="str">
        <x:f>IF(OR(F58="",L58=""),"",F58+L58)</x:f>
        <x:v/>
      </x:c>
    </x:row>
    <x:row r="59" spans="1:13">
      <x:c r="A59" s="3">
        <x:f>'1_참가선수입력'!A59</x:f>
        <x:v>56</x:v>
      </x:c>
      <x:c r="B59" s="3">
        <x:f>'1_참가선수입력'!E59</x:f>
        <x:v>0</x:v>
      </x:c>
      <x:c r="C59" s="3">
        <x:f>'1_참가선수입력'!C59</x:f>
        <x:v>0</x:v>
      </x:c>
      <x:c r="D59" s="3">
        <x:f>'1_참가선수입력'!D59</x:f>
        <x:v>0</x:v>
      </x:c>
      <x:c r="E59" s="3">
        <x:f>'1_참가선수입력'!F59</x:f>
        <x:v>0</x:v>
      </x:c>
      <x:c r="F59" s="4"/>
      <x:c r="G59" s="4"/>
      <x:c r="H59" s="3" t="str">
        <x:f>IF(F59="","",F59+A59/10000)</x:f>
        <x:v/>
      </x:c>
      <x:c r="I59" s="3" t="str">
        <x:f>IF(F59="","",RANK(H59,$H$4:$H$213,1))</x:f>
        <x:v/>
      </x:c>
      <x:c r="J59" s="3" t="str">
        <x:f>IF(I59="","",IF(I59&lt;=104,"진출",""))</x:f>
        <x:v/>
      </x:c>
      <x:c r="K59" s="3" t="str">
        <x:f>IF(J59="진출",I59,"")</x:f>
        <x:v/>
      </x:c>
      <x:c r="L59" s="4"/>
      <x:c r="M59" s="3" t="str">
        <x:f>IF(OR(F59="",L59=""),"",F59+L59)</x:f>
        <x:v/>
      </x:c>
    </x:row>
    <x:row r="60" spans="1:13">
      <x:c r="A60" s="3">
        <x:f>'1_참가선수입력'!A60</x:f>
        <x:v>57</x:v>
      </x:c>
      <x:c r="B60" s="3">
        <x:f>'1_참가선수입력'!E60</x:f>
        <x:v>0</x:v>
      </x:c>
      <x:c r="C60" s="3">
        <x:f>'1_참가선수입력'!C60</x:f>
        <x:v>0</x:v>
      </x:c>
      <x:c r="D60" s="3">
        <x:f>'1_참가선수입력'!D60</x:f>
        <x:v>0</x:v>
      </x:c>
      <x:c r="E60" s="3">
        <x:f>'1_참가선수입력'!F60</x:f>
        <x:v>0</x:v>
      </x:c>
      <x:c r="F60" s="4"/>
      <x:c r="G60" s="4"/>
      <x:c r="H60" s="3" t="str">
        <x:f>IF(F60="","",F60+A60/10000)</x:f>
        <x:v/>
      </x:c>
      <x:c r="I60" s="3" t="str">
        <x:f>IF(F60="","",RANK(H60,$H$4:$H$213,1))</x:f>
        <x:v/>
      </x:c>
      <x:c r="J60" s="3" t="str">
        <x:f>IF(I60="","",IF(I60&lt;=104,"진출",""))</x:f>
        <x:v/>
      </x:c>
      <x:c r="K60" s="3" t="str">
        <x:f>IF(J60="진출",I60,"")</x:f>
        <x:v/>
      </x:c>
      <x:c r="L60" s="4"/>
      <x:c r="M60" s="3" t="str">
        <x:f>IF(OR(F60="",L60=""),"",F60+L60)</x:f>
        <x:v/>
      </x:c>
    </x:row>
    <x:row r="61" spans="1:13">
      <x:c r="A61" s="3">
        <x:f>'1_참가선수입력'!A61</x:f>
        <x:v>58</x:v>
      </x:c>
      <x:c r="B61" s="3">
        <x:f>'1_참가선수입력'!E61</x:f>
        <x:v>0</x:v>
      </x:c>
      <x:c r="C61" s="3">
        <x:f>'1_참가선수입력'!C61</x:f>
        <x:v>0</x:v>
      </x:c>
      <x:c r="D61" s="3">
        <x:f>'1_참가선수입력'!D61</x:f>
        <x:v>0</x:v>
      </x:c>
      <x:c r="E61" s="3">
        <x:f>'1_참가선수입력'!F61</x:f>
        <x:v>0</x:v>
      </x:c>
      <x:c r="F61" s="4"/>
      <x:c r="G61" s="4"/>
      <x:c r="H61" s="3" t="str">
        <x:f>IF(F61="","",F61+A61/10000)</x:f>
        <x:v/>
      </x:c>
      <x:c r="I61" s="3" t="str">
        <x:f>IF(F61="","",RANK(H61,$H$4:$H$213,1))</x:f>
        <x:v/>
      </x:c>
      <x:c r="J61" s="3" t="str">
        <x:f>IF(I61="","",IF(I61&lt;=104,"진출",""))</x:f>
        <x:v/>
      </x:c>
      <x:c r="K61" s="3" t="str">
        <x:f>IF(J61="진출",I61,"")</x:f>
        <x:v/>
      </x:c>
      <x:c r="L61" s="4"/>
      <x:c r="M61" s="3" t="str">
        <x:f>IF(OR(F61="",L61=""),"",F61+L61)</x:f>
        <x:v/>
      </x:c>
    </x:row>
    <x:row r="62" spans="1:13">
      <x:c r="A62" s="3">
        <x:f>'1_참가선수입력'!A62</x:f>
        <x:v>59</x:v>
      </x:c>
      <x:c r="B62" s="3">
        <x:f>'1_참가선수입력'!E62</x:f>
        <x:v>0</x:v>
      </x:c>
      <x:c r="C62" s="3">
        <x:f>'1_참가선수입력'!C62</x:f>
        <x:v>0</x:v>
      </x:c>
      <x:c r="D62" s="3">
        <x:f>'1_참가선수입력'!D62</x:f>
        <x:v>0</x:v>
      </x:c>
      <x:c r="E62" s="3">
        <x:f>'1_참가선수입력'!F62</x:f>
        <x:v>0</x:v>
      </x:c>
      <x:c r="F62" s="4"/>
      <x:c r="G62" s="4"/>
      <x:c r="H62" s="3" t="str">
        <x:f>IF(F62="","",F62+A62/10000)</x:f>
        <x:v/>
      </x:c>
      <x:c r="I62" s="3" t="str">
        <x:f>IF(F62="","",RANK(H62,$H$4:$H$213,1))</x:f>
        <x:v/>
      </x:c>
      <x:c r="J62" s="3" t="str">
        <x:f>IF(I62="","",IF(I62&lt;=104,"진출",""))</x:f>
        <x:v/>
      </x:c>
      <x:c r="K62" s="3" t="str">
        <x:f>IF(J62="진출",I62,"")</x:f>
        <x:v/>
      </x:c>
      <x:c r="L62" s="4"/>
      <x:c r="M62" s="3" t="str">
        <x:f>IF(OR(F62="",L62=""),"",F62+L62)</x:f>
        <x:v/>
      </x:c>
    </x:row>
    <x:row r="63" spans="1:13">
      <x:c r="A63" s="3">
        <x:f>'1_참가선수입력'!A63</x:f>
        <x:v>60</x:v>
      </x:c>
      <x:c r="B63" s="3">
        <x:f>'1_참가선수입력'!E63</x:f>
        <x:v>0</x:v>
      </x:c>
      <x:c r="C63" s="3">
        <x:f>'1_참가선수입력'!C63</x:f>
        <x:v>0</x:v>
      </x:c>
      <x:c r="D63" s="3">
        <x:f>'1_참가선수입력'!D63</x:f>
        <x:v>0</x:v>
      </x:c>
      <x:c r="E63" s="3">
        <x:f>'1_참가선수입력'!F63</x:f>
        <x:v>0</x:v>
      </x:c>
      <x:c r="F63" s="4"/>
      <x:c r="G63" s="4"/>
      <x:c r="H63" s="3" t="str">
        <x:f>IF(F63="","",F63+A63/10000)</x:f>
        <x:v/>
      </x:c>
      <x:c r="I63" s="3" t="str">
        <x:f>IF(F63="","",RANK(H63,$H$4:$H$213,1))</x:f>
        <x:v/>
      </x:c>
      <x:c r="J63" s="3" t="str">
        <x:f>IF(I63="","",IF(I63&lt;=104,"진출",""))</x:f>
        <x:v/>
      </x:c>
      <x:c r="K63" s="3" t="str">
        <x:f>IF(J63="진출",I63,"")</x:f>
        <x:v/>
      </x:c>
      <x:c r="L63" s="4"/>
      <x:c r="M63" s="3" t="str">
        <x:f>IF(OR(F63="",L63=""),"",F63+L63)</x:f>
        <x:v/>
      </x:c>
    </x:row>
    <x:row r="64" spans="1:13">
      <x:c r="A64" s="3">
        <x:f>'1_참가선수입력'!A64</x:f>
        <x:v>61</x:v>
      </x:c>
      <x:c r="B64" s="3">
        <x:f>'1_참가선수입력'!E64</x:f>
        <x:v>0</x:v>
      </x:c>
      <x:c r="C64" s="3">
        <x:f>'1_참가선수입력'!C64</x:f>
        <x:v>0</x:v>
      </x:c>
      <x:c r="D64" s="3">
        <x:f>'1_참가선수입력'!D64</x:f>
        <x:v>0</x:v>
      </x:c>
      <x:c r="E64" s="3">
        <x:f>'1_참가선수입력'!F64</x:f>
        <x:v>0</x:v>
      </x:c>
      <x:c r="F64" s="4"/>
      <x:c r="G64" s="4"/>
      <x:c r="H64" s="3" t="str">
        <x:f>IF(F64="","",F64+A64/10000)</x:f>
        <x:v/>
      </x:c>
      <x:c r="I64" s="3" t="str">
        <x:f>IF(F64="","",RANK(H64,$H$4:$H$213,1))</x:f>
        <x:v/>
      </x:c>
      <x:c r="J64" s="3" t="str">
        <x:f>IF(I64="","",IF(I64&lt;=104,"진출",""))</x:f>
        <x:v/>
      </x:c>
      <x:c r="K64" s="3" t="str">
        <x:f>IF(J64="진출",I64,"")</x:f>
        <x:v/>
      </x:c>
      <x:c r="L64" s="4"/>
      <x:c r="M64" s="3" t="str">
        <x:f>IF(OR(F64="",L64=""),"",F64+L64)</x:f>
        <x:v/>
      </x:c>
    </x:row>
    <x:row r="65" spans="1:13">
      <x:c r="A65" s="3">
        <x:f>'1_참가선수입력'!A65</x:f>
        <x:v>62</x:v>
      </x:c>
      <x:c r="B65" s="3">
        <x:f>'1_참가선수입력'!E65</x:f>
        <x:v>0</x:v>
      </x:c>
      <x:c r="C65" s="3">
        <x:f>'1_참가선수입력'!C65</x:f>
        <x:v>0</x:v>
      </x:c>
      <x:c r="D65" s="3">
        <x:f>'1_참가선수입력'!D65</x:f>
        <x:v>0</x:v>
      </x:c>
      <x:c r="E65" s="3">
        <x:f>'1_참가선수입력'!F65</x:f>
        <x:v>0</x:v>
      </x:c>
      <x:c r="F65" s="4"/>
      <x:c r="G65" s="4"/>
      <x:c r="H65" s="3" t="str">
        <x:f>IF(F65="","",F65+A65/10000)</x:f>
        <x:v/>
      </x:c>
      <x:c r="I65" s="3" t="str">
        <x:f>IF(F65="","",RANK(H65,$H$4:$H$213,1))</x:f>
        <x:v/>
      </x:c>
      <x:c r="J65" s="3" t="str">
        <x:f>IF(I65="","",IF(I65&lt;=104,"진출",""))</x:f>
        <x:v/>
      </x:c>
      <x:c r="K65" s="3" t="str">
        <x:f>IF(J65="진출",I65,"")</x:f>
        <x:v/>
      </x:c>
      <x:c r="L65" s="4"/>
      <x:c r="M65" s="3" t="str">
        <x:f>IF(OR(F65="",L65=""),"",F65+L65)</x:f>
        <x:v/>
      </x:c>
    </x:row>
    <x:row r="66" spans="1:13">
      <x:c r="A66" s="3">
        <x:f>'1_참가선수입력'!A66</x:f>
        <x:v>63</x:v>
      </x:c>
      <x:c r="B66" s="3">
        <x:f>'1_참가선수입력'!E66</x:f>
        <x:v>0</x:v>
      </x:c>
      <x:c r="C66" s="3">
        <x:f>'1_참가선수입력'!C66</x:f>
        <x:v>0</x:v>
      </x:c>
      <x:c r="D66" s="3">
        <x:f>'1_참가선수입력'!D66</x:f>
        <x:v>0</x:v>
      </x:c>
      <x:c r="E66" s="3">
        <x:f>'1_참가선수입력'!F66</x:f>
        <x:v>0</x:v>
      </x:c>
      <x:c r="F66" s="4"/>
      <x:c r="G66" s="4"/>
      <x:c r="H66" s="3" t="str">
        <x:f>IF(F66="","",F66+A66/10000)</x:f>
        <x:v/>
      </x:c>
      <x:c r="I66" s="3" t="str">
        <x:f>IF(F66="","",RANK(H66,$H$4:$H$213,1))</x:f>
        <x:v/>
      </x:c>
      <x:c r="J66" s="3" t="str">
        <x:f>IF(I66="","",IF(I66&lt;=104,"진출",""))</x:f>
        <x:v/>
      </x:c>
      <x:c r="K66" s="3" t="str">
        <x:f>IF(J66="진출",I66,"")</x:f>
        <x:v/>
      </x:c>
      <x:c r="L66" s="4"/>
      <x:c r="M66" s="3" t="str">
        <x:f>IF(OR(F66="",L66=""),"",F66+L66)</x:f>
        <x:v/>
      </x:c>
    </x:row>
    <x:row r="67" spans="1:13">
      <x:c r="A67" s="3">
        <x:f>'1_참가선수입력'!A67</x:f>
        <x:v>64</x:v>
      </x:c>
      <x:c r="B67" s="3">
        <x:f>'1_참가선수입력'!E67</x:f>
        <x:v>0</x:v>
      </x:c>
      <x:c r="C67" s="3">
        <x:f>'1_참가선수입력'!C67</x:f>
        <x:v>0</x:v>
      </x:c>
      <x:c r="D67" s="3">
        <x:f>'1_참가선수입력'!D67</x:f>
        <x:v>0</x:v>
      </x:c>
      <x:c r="E67" s="3">
        <x:f>'1_참가선수입력'!F67</x:f>
        <x:v>0</x:v>
      </x:c>
      <x:c r="F67" s="4"/>
      <x:c r="G67" s="4"/>
      <x:c r="H67" s="3" t="str">
        <x:f>IF(F67="","",F67+A67/10000)</x:f>
        <x:v/>
      </x:c>
      <x:c r="I67" s="3" t="str">
        <x:f>IF(F67="","",RANK(H67,$H$4:$H$213,1))</x:f>
        <x:v/>
      </x:c>
      <x:c r="J67" s="3" t="str">
        <x:f>IF(I67="","",IF(I67&lt;=104,"진출",""))</x:f>
        <x:v/>
      </x:c>
      <x:c r="K67" s="3" t="str">
        <x:f>IF(J67="진출",I67,"")</x:f>
        <x:v/>
      </x:c>
      <x:c r="L67" s="4"/>
      <x:c r="M67" s="3" t="str">
        <x:f>IF(OR(F67="",L67=""),"",F67+L67)</x:f>
        <x:v/>
      </x:c>
    </x:row>
    <x:row r="68" spans="1:13">
      <x:c r="A68" s="3">
        <x:f>'1_참가선수입력'!A68</x:f>
        <x:v>65</x:v>
      </x:c>
      <x:c r="B68" s="3">
        <x:f>'1_참가선수입력'!E68</x:f>
        <x:v>0</x:v>
      </x:c>
      <x:c r="C68" s="3">
        <x:f>'1_참가선수입력'!C68</x:f>
        <x:v>0</x:v>
      </x:c>
      <x:c r="D68" s="3">
        <x:f>'1_참가선수입력'!D68</x:f>
        <x:v>0</x:v>
      </x:c>
      <x:c r="E68" s="3">
        <x:f>'1_참가선수입력'!F68</x:f>
        <x:v>0</x:v>
      </x:c>
      <x:c r="F68" s="4"/>
      <x:c r="G68" s="4"/>
      <x:c r="H68" s="3" t="str">
        <x:f>IF(F68="","",F68+A68/10000)</x:f>
        <x:v/>
      </x:c>
      <x:c r="I68" s="3" t="str">
        <x:f>IF(F68="","",RANK(H68,$H$4:$H$213,1))</x:f>
        <x:v/>
      </x:c>
      <x:c r="J68" s="3" t="str">
        <x:f>IF(I68="","",IF(I68&lt;=104,"진출",""))</x:f>
        <x:v/>
      </x:c>
      <x:c r="K68" s="3" t="str">
        <x:f>IF(J68="진출",I68,"")</x:f>
        <x:v/>
      </x:c>
      <x:c r="L68" s="4"/>
      <x:c r="M68" s="3" t="str">
        <x:f>IF(OR(F68="",L68=""),"",F68+L68)</x:f>
        <x:v/>
      </x:c>
    </x:row>
    <x:row r="69" spans="1:13">
      <x:c r="A69" s="3">
        <x:f>'1_참가선수입력'!A69</x:f>
        <x:v>66</x:v>
      </x:c>
      <x:c r="B69" s="3">
        <x:f>'1_참가선수입력'!E69</x:f>
        <x:v>0</x:v>
      </x:c>
      <x:c r="C69" s="3">
        <x:f>'1_참가선수입력'!C69</x:f>
        <x:v>0</x:v>
      </x:c>
      <x:c r="D69" s="3">
        <x:f>'1_참가선수입력'!D69</x:f>
        <x:v>0</x:v>
      </x:c>
      <x:c r="E69" s="3">
        <x:f>'1_참가선수입력'!F69</x:f>
        <x:v>0</x:v>
      </x:c>
      <x:c r="F69" s="4"/>
      <x:c r="G69" s="4"/>
      <x:c r="H69" s="3" t="str">
        <x:f>IF(F69="","",F69+A69/10000)</x:f>
        <x:v/>
      </x:c>
      <x:c r="I69" s="3" t="str">
        <x:f>IF(F69="","",RANK(H69,$H$4:$H$213,1))</x:f>
        <x:v/>
      </x:c>
      <x:c r="J69" s="3" t="str">
        <x:f>IF(I69="","",IF(I69&lt;=104,"진출",""))</x:f>
        <x:v/>
      </x:c>
      <x:c r="K69" s="3" t="str">
        <x:f>IF(J69="진출",I69,"")</x:f>
        <x:v/>
      </x:c>
      <x:c r="L69" s="4"/>
      <x:c r="M69" s="3" t="str">
        <x:f>IF(OR(F69="",L69=""),"",F69+L69)</x:f>
        <x:v/>
      </x:c>
    </x:row>
    <x:row r="70" spans="1:13">
      <x:c r="A70" s="3">
        <x:f>'1_참가선수입력'!A70</x:f>
        <x:v>67</x:v>
      </x:c>
      <x:c r="B70" s="3">
        <x:f>'1_참가선수입력'!E70</x:f>
        <x:v>0</x:v>
      </x:c>
      <x:c r="C70" s="3">
        <x:f>'1_참가선수입력'!C70</x:f>
        <x:v>0</x:v>
      </x:c>
      <x:c r="D70" s="3">
        <x:f>'1_참가선수입력'!D70</x:f>
        <x:v>0</x:v>
      </x:c>
      <x:c r="E70" s="3">
        <x:f>'1_참가선수입력'!F70</x:f>
        <x:v>0</x:v>
      </x:c>
      <x:c r="F70" s="4"/>
      <x:c r="G70" s="4"/>
      <x:c r="H70" s="3" t="str">
        <x:f>IF(F70="","",F70+A70/10000)</x:f>
        <x:v/>
      </x:c>
      <x:c r="I70" s="3" t="str">
        <x:f>IF(F70="","",RANK(H70,$H$4:$H$213,1))</x:f>
        <x:v/>
      </x:c>
      <x:c r="J70" s="3" t="str">
        <x:f>IF(I70="","",IF(I70&lt;=104,"진출",""))</x:f>
        <x:v/>
      </x:c>
      <x:c r="K70" s="3" t="str">
        <x:f>IF(J70="진출",I70,"")</x:f>
        <x:v/>
      </x:c>
      <x:c r="L70" s="4"/>
      <x:c r="M70" s="3" t="str">
        <x:f>IF(OR(F70="",L70=""),"",F70+L70)</x:f>
        <x:v/>
      </x:c>
    </x:row>
    <x:row r="71" spans="1:13">
      <x:c r="A71" s="3">
        <x:f>'1_참가선수입력'!A71</x:f>
        <x:v>68</x:v>
      </x:c>
      <x:c r="B71" s="3">
        <x:f>'1_참가선수입력'!E71</x:f>
        <x:v>0</x:v>
      </x:c>
      <x:c r="C71" s="3">
        <x:f>'1_참가선수입력'!C71</x:f>
        <x:v>0</x:v>
      </x:c>
      <x:c r="D71" s="3">
        <x:f>'1_참가선수입력'!D71</x:f>
        <x:v>0</x:v>
      </x:c>
      <x:c r="E71" s="3">
        <x:f>'1_참가선수입력'!F71</x:f>
        <x:v>0</x:v>
      </x:c>
      <x:c r="F71" s="4"/>
      <x:c r="G71" s="4"/>
      <x:c r="H71" s="3" t="str">
        <x:f>IF(F71="","",F71+A71/10000)</x:f>
        <x:v/>
      </x:c>
      <x:c r="I71" s="3" t="str">
        <x:f>IF(F71="","",RANK(H71,$H$4:$H$213,1))</x:f>
        <x:v/>
      </x:c>
      <x:c r="J71" s="3" t="str">
        <x:f>IF(I71="","",IF(I71&lt;=104,"진출",""))</x:f>
        <x:v/>
      </x:c>
      <x:c r="K71" s="3" t="str">
        <x:f>IF(J71="진출",I71,"")</x:f>
        <x:v/>
      </x:c>
      <x:c r="L71" s="4"/>
      <x:c r="M71" s="3" t="str">
        <x:f>IF(OR(F71="",L71=""),"",F71+L71)</x:f>
        <x:v/>
      </x:c>
    </x:row>
    <x:row r="72" spans="1:13">
      <x:c r="A72" s="3">
        <x:f>'1_참가선수입력'!A72</x:f>
        <x:v>69</x:v>
      </x:c>
      <x:c r="B72" s="3">
        <x:f>'1_참가선수입력'!E72</x:f>
        <x:v>0</x:v>
      </x:c>
      <x:c r="C72" s="3">
        <x:f>'1_참가선수입력'!C72</x:f>
        <x:v>0</x:v>
      </x:c>
      <x:c r="D72" s="3">
        <x:f>'1_참가선수입력'!D72</x:f>
        <x:v>0</x:v>
      </x:c>
      <x:c r="E72" s="3">
        <x:f>'1_참가선수입력'!F72</x:f>
        <x:v>0</x:v>
      </x:c>
      <x:c r="F72" s="4"/>
      <x:c r="G72" s="4"/>
      <x:c r="H72" s="3" t="str">
        <x:f>IF(F72="","",F72+A72/10000)</x:f>
        <x:v/>
      </x:c>
      <x:c r="I72" s="3" t="str">
        <x:f>IF(F72="","",RANK(H72,$H$4:$H$213,1))</x:f>
        <x:v/>
      </x:c>
      <x:c r="J72" s="3" t="str">
        <x:f>IF(I72="","",IF(I72&lt;=104,"진출",""))</x:f>
        <x:v/>
      </x:c>
      <x:c r="K72" s="3" t="str">
        <x:f>IF(J72="진출",I72,"")</x:f>
        <x:v/>
      </x:c>
      <x:c r="L72" s="4"/>
      <x:c r="M72" s="3" t="str">
        <x:f>IF(OR(F72="",L72=""),"",F72+L72)</x:f>
        <x:v/>
      </x:c>
    </x:row>
    <x:row r="73" spans="1:13">
      <x:c r="A73" s="3">
        <x:f>'1_참가선수입력'!A73</x:f>
        <x:v>70</x:v>
      </x:c>
      <x:c r="B73" s="3">
        <x:f>'1_참가선수입력'!E73</x:f>
        <x:v>0</x:v>
      </x:c>
      <x:c r="C73" s="3">
        <x:f>'1_참가선수입력'!C73</x:f>
        <x:v>0</x:v>
      </x:c>
      <x:c r="D73" s="3">
        <x:f>'1_참가선수입력'!D73</x:f>
        <x:v>0</x:v>
      </x:c>
      <x:c r="E73" s="3">
        <x:f>'1_참가선수입력'!F73</x:f>
        <x:v>0</x:v>
      </x:c>
      <x:c r="F73" s="4"/>
      <x:c r="G73" s="4"/>
      <x:c r="H73" s="3" t="str">
        <x:f>IF(F73="","",F73+A73/10000)</x:f>
        <x:v/>
      </x:c>
      <x:c r="I73" s="3" t="str">
        <x:f>IF(F73="","",RANK(H73,$H$4:$H$213,1))</x:f>
        <x:v/>
      </x:c>
      <x:c r="J73" s="3" t="str">
        <x:f>IF(I73="","",IF(I73&lt;=104,"진출",""))</x:f>
        <x:v/>
      </x:c>
      <x:c r="K73" s="3" t="str">
        <x:f>IF(J73="진출",I73,"")</x:f>
        <x:v/>
      </x:c>
      <x:c r="L73" s="4"/>
      <x:c r="M73" s="3" t="str">
        <x:f>IF(OR(F73="",L73=""),"",F73+L73)</x:f>
        <x:v/>
      </x:c>
    </x:row>
    <x:row r="74" spans="1:13">
      <x:c r="A74" s="3">
        <x:f>'1_참가선수입력'!A74</x:f>
        <x:v>71</x:v>
      </x:c>
      <x:c r="B74" s="3">
        <x:f>'1_참가선수입력'!E74</x:f>
        <x:v>0</x:v>
      </x:c>
      <x:c r="C74" s="3">
        <x:f>'1_참가선수입력'!C74</x:f>
        <x:v>0</x:v>
      </x:c>
      <x:c r="D74" s="3">
        <x:f>'1_참가선수입력'!D74</x:f>
        <x:v>0</x:v>
      </x:c>
      <x:c r="E74" s="3">
        <x:f>'1_참가선수입력'!F74</x:f>
        <x:v>0</x:v>
      </x:c>
      <x:c r="F74" s="4"/>
      <x:c r="G74" s="4"/>
      <x:c r="H74" s="3" t="str">
        <x:f>IF(F74="","",F74+A74/10000)</x:f>
        <x:v/>
      </x:c>
      <x:c r="I74" s="3" t="str">
        <x:f>IF(F74="","",RANK(H74,$H$4:$H$213,1))</x:f>
        <x:v/>
      </x:c>
      <x:c r="J74" s="3" t="str">
        <x:f>IF(I74="","",IF(I74&lt;=104,"진출",""))</x:f>
        <x:v/>
      </x:c>
      <x:c r="K74" s="3" t="str">
        <x:f>IF(J74="진출",I74,"")</x:f>
        <x:v/>
      </x:c>
      <x:c r="L74" s="4"/>
      <x:c r="M74" s="3" t="str">
        <x:f>IF(OR(F74="",L74=""),"",F74+L74)</x:f>
        <x:v/>
      </x:c>
    </x:row>
    <x:row r="75" spans="1:13">
      <x:c r="A75" s="3">
        <x:f>'1_참가선수입력'!A75</x:f>
        <x:v>72</x:v>
      </x:c>
      <x:c r="B75" s="3">
        <x:f>'1_참가선수입력'!E75</x:f>
        <x:v>0</x:v>
      </x:c>
      <x:c r="C75" s="3">
        <x:f>'1_참가선수입력'!C75</x:f>
        <x:v>0</x:v>
      </x:c>
      <x:c r="D75" s="3">
        <x:f>'1_참가선수입력'!D75</x:f>
        <x:v>0</x:v>
      </x:c>
      <x:c r="E75" s="3">
        <x:f>'1_참가선수입력'!F75</x:f>
        <x:v>0</x:v>
      </x:c>
      <x:c r="F75" s="4"/>
      <x:c r="G75" s="4"/>
      <x:c r="H75" s="3" t="str">
        <x:f>IF(F75="","",F75+A75/10000)</x:f>
        <x:v/>
      </x:c>
      <x:c r="I75" s="3" t="str">
        <x:f>IF(F75="","",RANK(H75,$H$4:$H$213,1))</x:f>
        <x:v/>
      </x:c>
      <x:c r="J75" s="3" t="str">
        <x:f>IF(I75="","",IF(I75&lt;=104,"진출",""))</x:f>
        <x:v/>
      </x:c>
      <x:c r="K75" s="3" t="str">
        <x:f>IF(J75="진출",I75,"")</x:f>
        <x:v/>
      </x:c>
      <x:c r="L75" s="4"/>
      <x:c r="M75" s="3" t="str">
        <x:f>IF(OR(F75="",L75=""),"",F75+L75)</x:f>
        <x:v/>
      </x:c>
    </x:row>
    <x:row r="76" spans="1:13">
      <x:c r="A76" s="3">
        <x:f>'1_참가선수입력'!A76</x:f>
        <x:v>73</x:v>
      </x:c>
      <x:c r="B76" s="3">
        <x:f>'1_참가선수입력'!E76</x:f>
        <x:v>0</x:v>
      </x:c>
      <x:c r="C76" s="3">
        <x:f>'1_참가선수입력'!C76</x:f>
        <x:v>0</x:v>
      </x:c>
      <x:c r="D76" s="3">
        <x:f>'1_참가선수입력'!D76</x:f>
        <x:v>0</x:v>
      </x:c>
      <x:c r="E76" s="3">
        <x:f>'1_참가선수입력'!F76</x:f>
        <x:v>0</x:v>
      </x:c>
      <x:c r="F76" s="4"/>
      <x:c r="G76" s="4"/>
      <x:c r="H76" s="3" t="str">
        <x:f>IF(F76="","",F76+A76/10000)</x:f>
        <x:v/>
      </x:c>
      <x:c r="I76" s="3" t="str">
        <x:f>IF(F76="","",RANK(H76,$H$4:$H$213,1))</x:f>
        <x:v/>
      </x:c>
      <x:c r="J76" s="3" t="str">
        <x:f>IF(I76="","",IF(I76&lt;=104,"진출",""))</x:f>
        <x:v/>
      </x:c>
      <x:c r="K76" s="3" t="str">
        <x:f>IF(J76="진출",I76,"")</x:f>
        <x:v/>
      </x:c>
      <x:c r="L76" s="4"/>
      <x:c r="M76" s="3" t="str">
        <x:f>IF(OR(F76="",L76=""),"",F76+L76)</x:f>
        <x:v/>
      </x:c>
    </x:row>
    <x:row r="77" spans="1:13">
      <x:c r="A77" s="3">
        <x:f>'1_참가선수입력'!A77</x:f>
        <x:v>74</x:v>
      </x:c>
      <x:c r="B77" s="3">
        <x:f>'1_참가선수입력'!E77</x:f>
        <x:v>0</x:v>
      </x:c>
      <x:c r="C77" s="3">
        <x:f>'1_참가선수입력'!C77</x:f>
        <x:v>0</x:v>
      </x:c>
      <x:c r="D77" s="3">
        <x:f>'1_참가선수입력'!D77</x:f>
        <x:v>0</x:v>
      </x:c>
      <x:c r="E77" s="3">
        <x:f>'1_참가선수입력'!F77</x:f>
        <x:v>0</x:v>
      </x:c>
      <x:c r="F77" s="4"/>
      <x:c r="G77" s="4"/>
      <x:c r="H77" s="3" t="str">
        <x:f>IF(F77="","",F77+A77/10000)</x:f>
        <x:v/>
      </x:c>
      <x:c r="I77" s="3" t="str">
        <x:f>IF(F77="","",RANK(H77,$H$4:$H$213,1))</x:f>
        <x:v/>
      </x:c>
      <x:c r="J77" s="3" t="str">
        <x:f>IF(I77="","",IF(I77&lt;=104,"진출",""))</x:f>
        <x:v/>
      </x:c>
      <x:c r="K77" s="3" t="str">
        <x:f>IF(J77="진출",I77,"")</x:f>
        <x:v/>
      </x:c>
      <x:c r="L77" s="4"/>
      <x:c r="M77" s="3" t="str">
        <x:f>IF(OR(F77="",L77=""),"",F77+L77)</x:f>
        <x:v/>
      </x:c>
    </x:row>
    <x:row r="78" spans="1:13">
      <x:c r="A78" s="3">
        <x:f>'1_참가선수입력'!A78</x:f>
        <x:v>75</x:v>
      </x:c>
      <x:c r="B78" s="3">
        <x:f>'1_참가선수입력'!E78</x:f>
        <x:v>0</x:v>
      </x:c>
      <x:c r="C78" s="3">
        <x:f>'1_참가선수입력'!C78</x:f>
        <x:v>0</x:v>
      </x:c>
      <x:c r="D78" s="3">
        <x:f>'1_참가선수입력'!D78</x:f>
        <x:v>0</x:v>
      </x:c>
      <x:c r="E78" s="3">
        <x:f>'1_참가선수입력'!F78</x:f>
        <x:v>0</x:v>
      </x:c>
      <x:c r="F78" s="4"/>
      <x:c r="G78" s="4"/>
      <x:c r="H78" s="3" t="str">
        <x:f>IF(F78="","",F78+A78/10000)</x:f>
        <x:v/>
      </x:c>
      <x:c r="I78" s="3" t="str">
        <x:f>IF(F78="","",RANK(H78,$H$4:$H$213,1))</x:f>
        <x:v/>
      </x:c>
      <x:c r="J78" s="3" t="str">
        <x:f>IF(I78="","",IF(I78&lt;=104,"진출",""))</x:f>
        <x:v/>
      </x:c>
      <x:c r="K78" s="3" t="str">
        <x:f>IF(J78="진출",I78,"")</x:f>
        <x:v/>
      </x:c>
      <x:c r="L78" s="4"/>
      <x:c r="M78" s="3" t="str">
        <x:f>IF(OR(F78="",L78=""),"",F78+L78)</x:f>
        <x:v/>
      </x:c>
    </x:row>
    <x:row r="79" spans="1:13">
      <x:c r="A79" s="3">
        <x:f>'1_참가선수입력'!A79</x:f>
        <x:v>76</x:v>
      </x:c>
      <x:c r="B79" s="3">
        <x:f>'1_참가선수입력'!E79</x:f>
        <x:v>0</x:v>
      </x:c>
      <x:c r="C79" s="3">
        <x:f>'1_참가선수입력'!C79</x:f>
        <x:v>0</x:v>
      </x:c>
      <x:c r="D79" s="3">
        <x:f>'1_참가선수입력'!D79</x:f>
        <x:v>0</x:v>
      </x:c>
      <x:c r="E79" s="3">
        <x:f>'1_참가선수입력'!F79</x:f>
        <x:v>0</x:v>
      </x:c>
      <x:c r="F79" s="4"/>
      <x:c r="G79" s="4"/>
      <x:c r="H79" s="3" t="str">
        <x:f>IF(F79="","",F79+A79/10000)</x:f>
        <x:v/>
      </x:c>
      <x:c r="I79" s="3" t="str">
        <x:f>IF(F79="","",RANK(H79,$H$4:$H$213,1))</x:f>
        <x:v/>
      </x:c>
      <x:c r="J79" s="3" t="str">
        <x:f>IF(I79="","",IF(I79&lt;=104,"진출",""))</x:f>
        <x:v/>
      </x:c>
      <x:c r="K79" s="3" t="str">
        <x:f>IF(J79="진출",I79,"")</x:f>
        <x:v/>
      </x:c>
      <x:c r="L79" s="4"/>
      <x:c r="M79" s="3" t="str">
        <x:f>IF(OR(F79="",L79=""),"",F79+L79)</x:f>
        <x:v/>
      </x:c>
    </x:row>
    <x:row r="80" spans="1:13">
      <x:c r="A80" s="3">
        <x:f>'1_참가선수입력'!A80</x:f>
        <x:v>77</x:v>
      </x:c>
      <x:c r="B80" s="3">
        <x:f>'1_참가선수입력'!E80</x:f>
        <x:v>0</x:v>
      </x:c>
      <x:c r="C80" s="3">
        <x:f>'1_참가선수입력'!C80</x:f>
        <x:v>0</x:v>
      </x:c>
      <x:c r="D80" s="3">
        <x:f>'1_참가선수입력'!D80</x:f>
        <x:v>0</x:v>
      </x:c>
      <x:c r="E80" s="3">
        <x:f>'1_참가선수입력'!F80</x:f>
        <x:v>0</x:v>
      </x:c>
      <x:c r="F80" s="4"/>
      <x:c r="G80" s="4"/>
      <x:c r="H80" s="3" t="str">
        <x:f>IF(F80="","",F80+A80/10000)</x:f>
        <x:v/>
      </x:c>
      <x:c r="I80" s="3" t="str">
        <x:f>IF(F80="","",RANK(H80,$H$4:$H$213,1))</x:f>
        <x:v/>
      </x:c>
      <x:c r="J80" s="3" t="str">
        <x:f>IF(I80="","",IF(I80&lt;=104,"진출",""))</x:f>
        <x:v/>
      </x:c>
      <x:c r="K80" s="3" t="str">
        <x:f>IF(J80="진출",I80,"")</x:f>
        <x:v/>
      </x:c>
      <x:c r="L80" s="4"/>
      <x:c r="M80" s="3" t="str">
        <x:f>IF(OR(F80="",L80=""),"",F80+L80)</x:f>
        <x:v/>
      </x:c>
    </x:row>
    <x:row r="81" spans="1:13">
      <x:c r="A81" s="3">
        <x:f>'1_참가선수입력'!A81</x:f>
        <x:v>78</x:v>
      </x:c>
      <x:c r="B81" s="3">
        <x:f>'1_참가선수입력'!E81</x:f>
        <x:v>0</x:v>
      </x:c>
      <x:c r="C81" s="3">
        <x:f>'1_참가선수입력'!C81</x:f>
        <x:v>0</x:v>
      </x:c>
      <x:c r="D81" s="3">
        <x:f>'1_참가선수입력'!D81</x:f>
        <x:v>0</x:v>
      </x:c>
      <x:c r="E81" s="3">
        <x:f>'1_참가선수입력'!F81</x:f>
        <x:v>0</x:v>
      </x:c>
      <x:c r="F81" s="4"/>
      <x:c r="G81" s="4"/>
      <x:c r="H81" s="3" t="str">
        <x:f>IF(F81="","",F81+A81/10000)</x:f>
        <x:v/>
      </x:c>
      <x:c r="I81" s="3" t="str">
        <x:f>IF(F81="","",RANK(H81,$H$4:$H$213,1))</x:f>
        <x:v/>
      </x:c>
      <x:c r="J81" s="3" t="str">
        <x:f>IF(I81="","",IF(I81&lt;=104,"진출",""))</x:f>
        <x:v/>
      </x:c>
      <x:c r="K81" s="3" t="str">
        <x:f>IF(J81="진출",I81,"")</x:f>
        <x:v/>
      </x:c>
      <x:c r="L81" s="4"/>
      <x:c r="M81" s="3" t="str">
        <x:f>IF(OR(F81="",L81=""),"",F81+L81)</x:f>
        <x:v/>
      </x:c>
    </x:row>
    <x:row r="82" spans="1:13">
      <x:c r="A82" s="3">
        <x:f>'1_참가선수입력'!A82</x:f>
        <x:v>79</x:v>
      </x:c>
      <x:c r="B82" s="3">
        <x:f>'1_참가선수입력'!E82</x:f>
        <x:v>0</x:v>
      </x:c>
      <x:c r="C82" s="3">
        <x:f>'1_참가선수입력'!C82</x:f>
        <x:v>0</x:v>
      </x:c>
      <x:c r="D82" s="3">
        <x:f>'1_참가선수입력'!D82</x:f>
        <x:v>0</x:v>
      </x:c>
      <x:c r="E82" s="3">
        <x:f>'1_참가선수입력'!F82</x:f>
        <x:v>0</x:v>
      </x:c>
      <x:c r="F82" s="4"/>
      <x:c r="G82" s="4"/>
      <x:c r="H82" s="3" t="str">
        <x:f>IF(F82="","",F82+A82/10000)</x:f>
        <x:v/>
      </x:c>
      <x:c r="I82" s="3" t="str">
        <x:f>IF(F82="","",RANK(H82,$H$4:$H$213,1))</x:f>
        <x:v/>
      </x:c>
      <x:c r="J82" s="3" t="str">
        <x:f>IF(I82="","",IF(I82&lt;=104,"진출",""))</x:f>
        <x:v/>
      </x:c>
      <x:c r="K82" s="3" t="str">
        <x:f>IF(J82="진출",I82,"")</x:f>
        <x:v/>
      </x:c>
      <x:c r="L82" s="4"/>
      <x:c r="M82" s="3" t="str">
        <x:f>IF(OR(F82="",L82=""),"",F82+L82)</x:f>
        <x:v/>
      </x:c>
    </x:row>
    <x:row r="83" spans="1:13">
      <x:c r="A83" s="3">
        <x:f>'1_참가선수입력'!A83</x:f>
        <x:v>80</x:v>
      </x:c>
      <x:c r="B83" s="3">
        <x:f>'1_참가선수입력'!E83</x:f>
        <x:v>0</x:v>
      </x:c>
      <x:c r="C83" s="3">
        <x:f>'1_참가선수입력'!C83</x:f>
        <x:v>0</x:v>
      </x:c>
      <x:c r="D83" s="3">
        <x:f>'1_참가선수입력'!D83</x:f>
        <x:v>0</x:v>
      </x:c>
      <x:c r="E83" s="3">
        <x:f>'1_참가선수입력'!F83</x:f>
        <x:v>0</x:v>
      </x:c>
      <x:c r="F83" s="4"/>
      <x:c r="G83" s="4"/>
      <x:c r="H83" s="3" t="str">
        <x:f>IF(F83="","",F83+A83/10000)</x:f>
        <x:v/>
      </x:c>
      <x:c r="I83" s="3" t="str">
        <x:f>IF(F83="","",RANK(H83,$H$4:$H$213,1))</x:f>
        <x:v/>
      </x:c>
      <x:c r="J83" s="3" t="str">
        <x:f>IF(I83="","",IF(I83&lt;=104,"진출",""))</x:f>
        <x:v/>
      </x:c>
      <x:c r="K83" s="3" t="str">
        <x:f>IF(J83="진출",I83,"")</x:f>
        <x:v/>
      </x:c>
      <x:c r="L83" s="4"/>
      <x:c r="M83" s="3" t="str">
        <x:f>IF(OR(F83="",L83=""),"",F83+L83)</x:f>
        <x:v/>
      </x:c>
    </x:row>
    <x:row r="84" spans="1:13">
      <x:c r="A84" s="3">
        <x:f>'1_참가선수입력'!A84</x:f>
        <x:v>81</x:v>
      </x:c>
      <x:c r="B84" s="3">
        <x:f>'1_참가선수입력'!E84</x:f>
        <x:v>0</x:v>
      </x:c>
      <x:c r="C84" s="3">
        <x:f>'1_참가선수입력'!C84</x:f>
        <x:v>0</x:v>
      </x:c>
      <x:c r="D84" s="3">
        <x:f>'1_참가선수입력'!D84</x:f>
        <x:v>0</x:v>
      </x:c>
      <x:c r="E84" s="3">
        <x:f>'1_참가선수입력'!F84</x:f>
        <x:v>0</x:v>
      </x:c>
      <x:c r="F84" s="4"/>
      <x:c r="G84" s="4"/>
      <x:c r="H84" s="3" t="str">
        <x:f>IF(F84="","",F84+A84/10000)</x:f>
        <x:v/>
      </x:c>
      <x:c r="I84" s="3" t="str">
        <x:f>IF(F84="","",RANK(H84,$H$4:$H$213,1))</x:f>
        <x:v/>
      </x:c>
      <x:c r="J84" s="3" t="str">
        <x:f>IF(I84="","",IF(I84&lt;=104,"진출",""))</x:f>
        <x:v/>
      </x:c>
      <x:c r="K84" s="3" t="str">
        <x:f>IF(J84="진출",I84,"")</x:f>
        <x:v/>
      </x:c>
      <x:c r="L84" s="4"/>
      <x:c r="M84" s="3" t="str">
        <x:f>IF(OR(F84="",L84=""),"",F84+L84)</x:f>
        <x:v/>
      </x:c>
    </x:row>
    <x:row r="85" spans="1:13">
      <x:c r="A85" s="3">
        <x:f>'1_참가선수입력'!A85</x:f>
        <x:v>82</x:v>
      </x:c>
      <x:c r="B85" s="3">
        <x:f>'1_참가선수입력'!E85</x:f>
        <x:v>0</x:v>
      </x:c>
      <x:c r="C85" s="3">
        <x:f>'1_참가선수입력'!C85</x:f>
        <x:v>0</x:v>
      </x:c>
      <x:c r="D85" s="3">
        <x:f>'1_참가선수입력'!D85</x:f>
        <x:v>0</x:v>
      </x:c>
      <x:c r="E85" s="3">
        <x:f>'1_참가선수입력'!F85</x:f>
        <x:v>0</x:v>
      </x:c>
      <x:c r="F85" s="4"/>
      <x:c r="G85" s="4"/>
      <x:c r="H85" s="3" t="str">
        <x:f>IF(F85="","",F85+A85/10000)</x:f>
        <x:v/>
      </x:c>
      <x:c r="I85" s="3" t="str">
        <x:f>IF(F85="","",RANK(H85,$H$4:$H$213,1))</x:f>
        <x:v/>
      </x:c>
      <x:c r="J85" s="3" t="str">
        <x:f>IF(I85="","",IF(I85&lt;=104,"진출",""))</x:f>
        <x:v/>
      </x:c>
      <x:c r="K85" s="3" t="str">
        <x:f>IF(J85="진출",I85,"")</x:f>
        <x:v/>
      </x:c>
      <x:c r="L85" s="4"/>
      <x:c r="M85" s="3" t="str">
        <x:f>IF(OR(F85="",L85=""),"",F85+L85)</x:f>
        <x:v/>
      </x:c>
    </x:row>
    <x:row r="86" spans="1:13">
      <x:c r="A86" s="3">
        <x:f>'1_참가선수입력'!A86</x:f>
        <x:v>83</x:v>
      </x:c>
      <x:c r="B86" s="3">
        <x:f>'1_참가선수입력'!E86</x:f>
        <x:v>0</x:v>
      </x:c>
      <x:c r="C86" s="3">
        <x:f>'1_참가선수입력'!C86</x:f>
        <x:v>0</x:v>
      </x:c>
      <x:c r="D86" s="3">
        <x:f>'1_참가선수입력'!D86</x:f>
        <x:v>0</x:v>
      </x:c>
      <x:c r="E86" s="3">
        <x:f>'1_참가선수입력'!F86</x:f>
        <x:v>0</x:v>
      </x:c>
      <x:c r="F86" s="4"/>
      <x:c r="G86" s="4"/>
      <x:c r="H86" s="3" t="str">
        <x:f>IF(F86="","",F86+A86/10000)</x:f>
        <x:v/>
      </x:c>
      <x:c r="I86" s="3" t="str">
        <x:f>IF(F86="","",RANK(H86,$H$4:$H$213,1))</x:f>
        <x:v/>
      </x:c>
      <x:c r="J86" s="3" t="str">
        <x:f>IF(I86="","",IF(I86&lt;=104,"진출",""))</x:f>
        <x:v/>
      </x:c>
      <x:c r="K86" s="3" t="str">
        <x:f>IF(J86="진출",I86,"")</x:f>
        <x:v/>
      </x:c>
      <x:c r="L86" s="4"/>
      <x:c r="M86" s="3" t="str">
        <x:f>IF(OR(F86="",L86=""),"",F86+L86)</x:f>
        <x:v/>
      </x:c>
    </x:row>
    <x:row r="87" spans="1:13">
      <x:c r="A87" s="3">
        <x:f>'1_참가선수입력'!A87</x:f>
        <x:v>84</x:v>
      </x:c>
      <x:c r="B87" s="3">
        <x:f>'1_참가선수입력'!E87</x:f>
        <x:v>0</x:v>
      </x:c>
      <x:c r="C87" s="3">
        <x:f>'1_참가선수입력'!C87</x:f>
        <x:v>0</x:v>
      </x:c>
      <x:c r="D87" s="3">
        <x:f>'1_참가선수입력'!D87</x:f>
        <x:v>0</x:v>
      </x:c>
      <x:c r="E87" s="3">
        <x:f>'1_참가선수입력'!F87</x:f>
        <x:v>0</x:v>
      </x:c>
      <x:c r="F87" s="4"/>
      <x:c r="G87" s="4"/>
      <x:c r="H87" s="3" t="str">
        <x:f>IF(F87="","",F87+A87/10000)</x:f>
        <x:v/>
      </x:c>
      <x:c r="I87" s="3" t="str">
        <x:f>IF(F87="","",RANK(H87,$H$4:$H$213,1))</x:f>
        <x:v/>
      </x:c>
      <x:c r="J87" s="3" t="str">
        <x:f>IF(I87="","",IF(I87&lt;=104,"진출",""))</x:f>
        <x:v/>
      </x:c>
      <x:c r="K87" s="3" t="str">
        <x:f>IF(J87="진출",I87,"")</x:f>
        <x:v/>
      </x:c>
      <x:c r="L87" s="4"/>
      <x:c r="M87" s="3" t="str">
        <x:f>IF(OR(F87="",L87=""),"",F87+L87)</x:f>
        <x:v/>
      </x:c>
    </x:row>
    <x:row r="88" spans="1:13">
      <x:c r="A88" s="3">
        <x:f>'1_참가선수입력'!A88</x:f>
        <x:v>85</x:v>
      </x:c>
      <x:c r="B88" s="3">
        <x:f>'1_참가선수입력'!E88</x:f>
        <x:v>0</x:v>
      </x:c>
      <x:c r="C88" s="3">
        <x:f>'1_참가선수입력'!C88</x:f>
        <x:v>0</x:v>
      </x:c>
      <x:c r="D88" s="3">
        <x:f>'1_참가선수입력'!D88</x:f>
        <x:v>0</x:v>
      </x:c>
      <x:c r="E88" s="3">
        <x:f>'1_참가선수입력'!F88</x:f>
        <x:v>0</x:v>
      </x:c>
      <x:c r="F88" s="4"/>
      <x:c r="G88" s="4"/>
      <x:c r="H88" s="3" t="str">
        <x:f>IF(F88="","",F88+A88/10000)</x:f>
        <x:v/>
      </x:c>
      <x:c r="I88" s="3" t="str">
        <x:f>IF(F88="","",RANK(H88,$H$4:$H$213,1))</x:f>
        <x:v/>
      </x:c>
      <x:c r="J88" s="3" t="str">
        <x:f>IF(I88="","",IF(I88&lt;=104,"진출",""))</x:f>
        <x:v/>
      </x:c>
      <x:c r="K88" s="3" t="str">
        <x:f>IF(J88="진출",I88,"")</x:f>
        <x:v/>
      </x:c>
      <x:c r="L88" s="4"/>
      <x:c r="M88" s="3" t="str">
        <x:f>IF(OR(F88="",L88=""),"",F88+L88)</x:f>
        <x:v/>
      </x:c>
    </x:row>
    <x:row r="89" spans="1:13">
      <x:c r="A89" s="3">
        <x:f>'1_참가선수입력'!A89</x:f>
        <x:v>86</x:v>
      </x:c>
      <x:c r="B89" s="3">
        <x:f>'1_참가선수입력'!E89</x:f>
        <x:v>0</x:v>
      </x:c>
      <x:c r="C89" s="3">
        <x:f>'1_참가선수입력'!C89</x:f>
        <x:v>0</x:v>
      </x:c>
      <x:c r="D89" s="3">
        <x:f>'1_참가선수입력'!D89</x:f>
        <x:v>0</x:v>
      </x:c>
      <x:c r="E89" s="3">
        <x:f>'1_참가선수입력'!F89</x:f>
        <x:v>0</x:v>
      </x:c>
      <x:c r="F89" s="4"/>
      <x:c r="G89" s="4"/>
      <x:c r="H89" s="3" t="str">
        <x:f>IF(F89="","",F89+A89/10000)</x:f>
        <x:v/>
      </x:c>
      <x:c r="I89" s="3" t="str">
        <x:f>IF(F89="","",RANK(H89,$H$4:$H$213,1))</x:f>
        <x:v/>
      </x:c>
      <x:c r="J89" s="3" t="str">
        <x:f>IF(I89="","",IF(I89&lt;=104,"진출",""))</x:f>
        <x:v/>
      </x:c>
      <x:c r="K89" s="3" t="str">
        <x:f>IF(J89="진출",I89,"")</x:f>
        <x:v/>
      </x:c>
      <x:c r="L89" s="4"/>
      <x:c r="M89" s="3" t="str">
        <x:f>IF(OR(F89="",L89=""),"",F89+L89)</x:f>
        <x:v/>
      </x:c>
    </x:row>
    <x:row r="90" spans="1:13">
      <x:c r="A90" s="3">
        <x:f>'1_참가선수입력'!A90</x:f>
        <x:v>87</x:v>
      </x:c>
      <x:c r="B90" s="3">
        <x:f>'1_참가선수입력'!E90</x:f>
        <x:v>0</x:v>
      </x:c>
      <x:c r="C90" s="3">
        <x:f>'1_참가선수입력'!C90</x:f>
        <x:v>0</x:v>
      </x:c>
      <x:c r="D90" s="3">
        <x:f>'1_참가선수입력'!D90</x:f>
        <x:v>0</x:v>
      </x:c>
      <x:c r="E90" s="3">
        <x:f>'1_참가선수입력'!F90</x:f>
        <x:v>0</x:v>
      </x:c>
      <x:c r="F90" s="4"/>
      <x:c r="G90" s="4"/>
      <x:c r="H90" s="3" t="str">
        <x:f>IF(F90="","",F90+A90/10000)</x:f>
        <x:v/>
      </x:c>
      <x:c r="I90" s="3" t="str">
        <x:f>IF(F90="","",RANK(H90,$H$4:$H$213,1))</x:f>
        <x:v/>
      </x:c>
      <x:c r="J90" s="3" t="str">
        <x:f>IF(I90="","",IF(I90&lt;=104,"진출",""))</x:f>
        <x:v/>
      </x:c>
      <x:c r="K90" s="3" t="str">
        <x:f>IF(J90="진출",I90,"")</x:f>
        <x:v/>
      </x:c>
      <x:c r="L90" s="4"/>
      <x:c r="M90" s="3" t="str">
        <x:f>IF(OR(F90="",L90=""),"",F90+L90)</x:f>
        <x:v/>
      </x:c>
    </x:row>
    <x:row r="91" spans="1:13">
      <x:c r="A91" s="3">
        <x:f>'1_참가선수입력'!A91</x:f>
        <x:v>88</x:v>
      </x:c>
      <x:c r="B91" s="3">
        <x:f>'1_참가선수입력'!E91</x:f>
        <x:v>0</x:v>
      </x:c>
      <x:c r="C91" s="3">
        <x:f>'1_참가선수입력'!C91</x:f>
        <x:v>0</x:v>
      </x:c>
      <x:c r="D91" s="3">
        <x:f>'1_참가선수입력'!D91</x:f>
        <x:v>0</x:v>
      </x:c>
      <x:c r="E91" s="3">
        <x:f>'1_참가선수입력'!F91</x:f>
        <x:v>0</x:v>
      </x:c>
      <x:c r="F91" s="4"/>
      <x:c r="G91" s="4"/>
      <x:c r="H91" s="3" t="str">
        <x:f>IF(F91="","",F91+A91/10000)</x:f>
        <x:v/>
      </x:c>
      <x:c r="I91" s="3" t="str">
        <x:f>IF(F91="","",RANK(H91,$H$4:$H$213,1))</x:f>
        <x:v/>
      </x:c>
      <x:c r="J91" s="3" t="str">
        <x:f>IF(I91="","",IF(I91&lt;=104,"진출",""))</x:f>
        <x:v/>
      </x:c>
      <x:c r="K91" s="3" t="str">
        <x:f>IF(J91="진출",I91,"")</x:f>
        <x:v/>
      </x:c>
      <x:c r="L91" s="4"/>
      <x:c r="M91" s="3" t="str">
        <x:f>IF(OR(F91="",L91=""),"",F91+L91)</x:f>
        <x:v/>
      </x:c>
    </x:row>
    <x:row r="92" spans="1:13">
      <x:c r="A92" s="3">
        <x:f>'1_참가선수입력'!A92</x:f>
        <x:v>89</x:v>
      </x:c>
      <x:c r="B92" s="3">
        <x:f>'1_참가선수입력'!E92</x:f>
        <x:v>0</x:v>
      </x:c>
      <x:c r="C92" s="3">
        <x:f>'1_참가선수입력'!C92</x:f>
        <x:v>0</x:v>
      </x:c>
      <x:c r="D92" s="3">
        <x:f>'1_참가선수입력'!D92</x:f>
        <x:v>0</x:v>
      </x:c>
      <x:c r="E92" s="3">
        <x:f>'1_참가선수입력'!F92</x:f>
        <x:v>0</x:v>
      </x:c>
      <x:c r="F92" s="4"/>
      <x:c r="G92" s="4"/>
      <x:c r="H92" s="3" t="str">
        <x:f>IF(F92="","",F92+A92/10000)</x:f>
        <x:v/>
      </x:c>
      <x:c r="I92" s="3" t="str">
        <x:f>IF(F92="","",RANK(H92,$H$4:$H$213,1))</x:f>
        <x:v/>
      </x:c>
      <x:c r="J92" s="3" t="str">
        <x:f>IF(I92="","",IF(I92&lt;=104,"진출",""))</x:f>
        <x:v/>
      </x:c>
      <x:c r="K92" s="3" t="str">
        <x:f>IF(J92="진출",I92,"")</x:f>
        <x:v/>
      </x:c>
      <x:c r="L92" s="4"/>
      <x:c r="M92" s="3" t="str">
        <x:f>IF(OR(F92="",L92=""),"",F92+L92)</x:f>
        <x:v/>
      </x:c>
    </x:row>
    <x:row r="93" spans="1:13">
      <x:c r="A93" s="3">
        <x:f>'1_참가선수입력'!A93</x:f>
        <x:v>90</x:v>
      </x:c>
      <x:c r="B93" s="3">
        <x:f>'1_참가선수입력'!E93</x:f>
        <x:v>0</x:v>
      </x:c>
      <x:c r="C93" s="3">
        <x:f>'1_참가선수입력'!C93</x:f>
        <x:v>0</x:v>
      </x:c>
      <x:c r="D93" s="3">
        <x:f>'1_참가선수입력'!D93</x:f>
        <x:v>0</x:v>
      </x:c>
      <x:c r="E93" s="3">
        <x:f>'1_참가선수입력'!F93</x:f>
        <x:v>0</x:v>
      </x:c>
      <x:c r="F93" s="4"/>
      <x:c r="G93" s="4"/>
      <x:c r="H93" s="3" t="str">
        <x:f>IF(F93="","",F93+A93/10000)</x:f>
        <x:v/>
      </x:c>
      <x:c r="I93" s="3" t="str">
        <x:f>IF(F93="","",RANK(H93,$H$4:$H$213,1))</x:f>
        <x:v/>
      </x:c>
      <x:c r="J93" s="3" t="str">
        <x:f>IF(I93="","",IF(I93&lt;=104,"진출",""))</x:f>
        <x:v/>
      </x:c>
      <x:c r="K93" s="3" t="str">
        <x:f>IF(J93="진출",I93,"")</x:f>
        <x:v/>
      </x:c>
      <x:c r="L93" s="4"/>
      <x:c r="M93" s="3" t="str">
        <x:f>IF(OR(F93="",L93=""),"",F93+L93)</x:f>
        <x:v/>
      </x:c>
    </x:row>
    <x:row r="94" spans="1:13">
      <x:c r="A94" s="3">
        <x:f>'1_참가선수입력'!A94</x:f>
        <x:v>91</x:v>
      </x:c>
      <x:c r="B94" s="3">
        <x:f>'1_참가선수입력'!E94</x:f>
        <x:v>0</x:v>
      </x:c>
      <x:c r="C94" s="3">
        <x:f>'1_참가선수입력'!C94</x:f>
        <x:v>0</x:v>
      </x:c>
      <x:c r="D94" s="3">
        <x:f>'1_참가선수입력'!D94</x:f>
        <x:v>0</x:v>
      </x:c>
      <x:c r="E94" s="3">
        <x:f>'1_참가선수입력'!F94</x:f>
        <x:v>0</x:v>
      </x:c>
      <x:c r="F94" s="4"/>
      <x:c r="G94" s="4"/>
      <x:c r="H94" s="3" t="str">
        <x:f>IF(F94="","",F94+A94/10000)</x:f>
        <x:v/>
      </x:c>
      <x:c r="I94" s="3" t="str">
        <x:f>IF(F94="","",RANK(H94,$H$4:$H$213,1))</x:f>
        <x:v/>
      </x:c>
      <x:c r="J94" s="3" t="str">
        <x:f>IF(I94="","",IF(I94&lt;=104,"진출",""))</x:f>
        <x:v/>
      </x:c>
      <x:c r="K94" s="3" t="str">
        <x:f>IF(J94="진출",I94,"")</x:f>
        <x:v/>
      </x:c>
      <x:c r="L94" s="4"/>
      <x:c r="M94" s="3" t="str">
        <x:f>IF(OR(F94="",L94=""),"",F94+L94)</x:f>
        <x:v/>
      </x:c>
    </x:row>
    <x:row r="95" spans="1:13">
      <x:c r="A95" s="3">
        <x:f>'1_참가선수입력'!A95</x:f>
        <x:v>92</x:v>
      </x:c>
      <x:c r="B95" s="3">
        <x:f>'1_참가선수입력'!E95</x:f>
        <x:v>0</x:v>
      </x:c>
      <x:c r="C95" s="3">
        <x:f>'1_참가선수입력'!C95</x:f>
        <x:v>0</x:v>
      </x:c>
      <x:c r="D95" s="3">
        <x:f>'1_참가선수입력'!D95</x:f>
        <x:v>0</x:v>
      </x:c>
      <x:c r="E95" s="3">
        <x:f>'1_참가선수입력'!F95</x:f>
        <x:v>0</x:v>
      </x:c>
      <x:c r="F95" s="4"/>
      <x:c r="G95" s="4"/>
      <x:c r="H95" s="3" t="str">
        <x:f>IF(F95="","",F95+A95/10000)</x:f>
        <x:v/>
      </x:c>
      <x:c r="I95" s="3" t="str">
        <x:f>IF(F95="","",RANK(H95,$H$4:$H$213,1))</x:f>
        <x:v/>
      </x:c>
      <x:c r="J95" s="3" t="str">
        <x:f>IF(I95="","",IF(I95&lt;=104,"진출",""))</x:f>
        <x:v/>
      </x:c>
      <x:c r="K95" s="3" t="str">
        <x:f>IF(J95="진출",I95,"")</x:f>
        <x:v/>
      </x:c>
      <x:c r="L95" s="4"/>
      <x:c r="M95" s="3" t="str">
        <x:f>IF(OR(F95="",L95=""),"",F95+L95)</x:f>
        <x:v/>
      </x:c>
    </x:row>
    <x:row r="96" spans="1:13">
      <x:c r="A96" s="3">
        <x:f>'1_참가선수입력'!A96</x:f>
        <x:v>93</x:v>
      </x:c>
      <x:c r="B96" s="3">
        <x:f>'1_참가선수입력'!E96</x:f>
        <x:v>0</x:v>
      </x:c>
      <x:c r="C96" s="3">
        <x:f>'1_참가선수입력'!C96</x:f>
        <x:v>0</x:v>
      </x:c>
      <x:c r="D96" s="3">
        <x:f>'1_참가선수입력'!D96</x:f>
        <x:v>0</x:v>
      </x:c>
      <x:c r="E96" s="3">
        <x:f>'1_참가선수입력'!F96</x:f>
        <x:v>0</x:v>
      </x:c>
      <x:c r="F96" s="4"/>
      <x:c r="G96" s="4"/>
      <x:c r="H96" s="3" t="str">
        <x:f>IF(F96="","",F96+A96/10000)</x:f>
        <x:v/>
      </x:c>
      <x:c r="I96" s="3" t="str">
        <x:f>IF(F96="","",RANK(H96,$H$4:$H$213,1))</x:f>
        <x:v/>
      </x:c>
      <x:c r="J96" s="3" t="str">
        <x:f>IF(I96="","",IF(I96&lt;=104,"진출",""))</x:f>
        <x:v/>
      </x:c>
      <x:c r="K96" s="3" t="str">
        <x:f>IF(J96="진출",I96,"")</x:f>
        <x:v/>
      </x:c>
      <x:c r="L96" s="4"/>
      <x:c r="M96" s="3" t="str">
        <x:f>IF(OR(F96="",L96=""),"",F96+L96)</x:f>
        <x:v/>
      </x:c>
    </x:row>
    <x:row r="97" spans="1:13">
      <x:c r="A97" s="3">
        <x:f>'1_참가선수입력'!A97</x:f>
        <x:v>94</x:v>
      </x:c>
      <x:c r="B97" s="3">
        <x:f>'1_참가선수입력'!E97</x:f>
        <x:v>0</x:v>
      </x:c>
      <x:c r="C97" s="3">
        <x:f>'1_참가선수입력'!C97</x:f>
        <x:v>0</x:v>
      </x:c>
      <x:c r="D97" s="3">
        <x:f>'1_참가선수입력'!D97</x:f>
        <x:v>0</x:v>
      </x:c>
      <x:c r="E97" s="3">
        <x:f>'1_참가선수입력'!F97</x:f>
        <x:v>0</x:v>
      </x:c>
      <x:c r="F97" s="4"/>
      <x:c r="G97" s="4"/>
      <x:c r="H97" s="3" t="str">
        <x:f>IF(F97="","",F97+A97/10000)</x:f>
        <x:v/>
      </x:c>
      <x:c r="I97" s="3" t="str">
        <x:f>IF(F97="","",RANK(H97,$H$4:$H$213,1))</x:f>
        <x:v/>
      </x:c>
      <x:c r="J97" s="3" t="str">
        <x:f>IF(I97="","",IF(I97&lt;=104,"진출",""))</x:f>
        <x:v/>
      </x:c>
      <x:c r="K97" s="3" t="str">
        <x:f>IF(J97="진출",I97,"")</x:f>
        <x:v/>
      </x:c>
      <x:c r="L97" s="4"/>
      <x:c r="M97" s="3" t="str">
        <x:f>IF(OR(F97="",L97=""),"",F97+L97)</x:f>
        <x:v/>
      </x:c>
    </x:row>
    <x:row r="98" spans="1:13">
      <x:c r="A98" s="3">
        <x:f>'1_참가선수입력'!A98</x:f>
        <x:v>95</x:v>
      </x:c>
      <x:c r="B98" s="3">
        <x:f>'1_참가선수입력'!E98</x:f>
        <x:v>0</x:v>
      </x:c>
      <x:c r="C98" s="3">
        <x:f>'1_참가선수입력'!C98</x:f>
        <x:v>0</x:v>
      </x:c>
      <x:c r="D98" s="3">
        <x:f>'1_참가선수입력'!D98</x:f>
        <x:v>0</x:v>
      </x:c>
      <x:c r="E98" s="3">
        <x:f>'1_참가선수입력'!F98</x:f>
        <x:v>0</x:v>
      </x:c>
      <x:c r="F98" s="4"/>
      <x:c r="G98" s="4"/>
      <x:c r="H98" s="3" t="str">
        <x:f>IF(F98="","",F98+A98/10000)</x:f>
        <x:v/>
      </x:c>
      <x:c r="I98" s="3" t="str">
        <x:f>IF(F98="","",RANK(H98,$H$4:$H$213,1))</x:f>
        <x:v/>
      </x:c>
      <x:c r="J98" s="3" t="str">
        <x:f>IF(I98="","",IF(I98&lt;=104,"진출",""))</x:f>
        <x:v/>
      </x:c>
      <x:c r="K98" s="3" t="str">
        <x:f>IF(J98="진출",I98,"")</x:f>
        <x:v/>
      </x:c>
      <x:c r="L98" s="4"/>
      <x:c r="M98" s="3" t="str">
        <x:f>IF(OR(F98="",L98=""),"",F98+L98)</x:f>
        <x:v/>
      </x:c>
    </x:row>
    <x:row r="99" spans="1:13">
      <x:c r="A99" s="3">
        <x:f>'1_참가선수입력'!A99</x:f>
        <x:v>96</x:v>
      </x:c>
      <x:c r="B99" s="3">
        <x:f>'1_참가선수입력'!E99</x:f>
        <x:v>0</x:v>
      </x:c>
      <x:c r="C99" s="3">
        <x:f>'1_참가선수입력'!C99</x:f>
        <x:v>0</x:v>
      </x:c>
      <x:c r="D99" s="3">
        <x:f>'1_참가선수입력'!D99</x:f>
        <x:v>0</x:v>
      </x:c>
      <x:c r="E99" s="3">
        <x:f>'1_참가선수입력'!F99</x:f>
        <x:v>0</x:v>
      </x:c>
      <x:c r="F99" s="4"/>
      <x:c r="G99" s="4"/>
      <x:c r="H99" s="3" t="str">
        <x:f>IF(F99="","",F99+A99/10000)</x:f>
        <x:v/>
      </x:c>
      <x:c r="I99" s="3" t="str">
        <x:f>IF(F99="","",RANK(H99,$H$4:$H$213,1))</x:f>
        <x:v/>
      </x:c>
      <x:c r="J99" s="3" t="str">
        <x:f>IF(I99="","",IF(I99&lt;=104,"진출",""))</x:f>
        <x:v/>
      </x:c>
      <x:c r="K99" s="3" t="str">
        <x:f>IF(J99="진출",I99,"")</x:f>
        <x:v/>
      </x:c>
      <x:c r="L99" s="4"/>
      <x:c r="M99" s="3" t="str">
        <x:f>IF(OR(F99="",L99=""),"",F99+L99)</x:f>
        <x:v/>
      </x:c>
    </x:row>
    <x:row r="100" spans="1:13">
      <x:c r="A100" s="3">
        <x:f>'1_참가선수입력'!A100</x:f>
        <x:v>97</x:v>
      </x:c>
      <x:c r="B100" s="3">
        <x:f>'1_참가선수입력'!E100</x:f>
        <x:v>0</x:v>
      </x:c>
      <x:c r="C100" s="3">
        <x:f>'1_참가선수입력'!C100</x:f>
        <x:v>0</x:v>
      </x:c>
      <x:c r="D100" s="3">
        <x:f>'1_참가선수입력'!D100</x:f>
        <x:v>0</x:v>
      </x:c>
      <x:c r="E100" s="3">
        <x:f>'1_참가선수입력'!F100</x:f>
        <x:v>0</x:v>
      </x:c>
      <x:c r="F100" s="4"/>
      <x:c r="G100" s="4"/>
      <x:c r="H100" s="3" t="str">
        <x:f>IF(F100="","",F100+A100/10000)</x:f>
        <x:v/>
      </x:c>
      <x:c r="I100" s="3" t="str">
        <x:f>IF(F100="","",RANK(H100,$H$4:$H$213,1))</x:f>
        <x:v/>
      </x:c>
      <x:c r="J100" s="3" t="str">
        <x:f>IF(I100="","",IF(I100&lt;=104,"진출",""))</x:f>
        <x:v/>
      </x:c>
      <x:c r="K100" s="3" t="str">
        <x:f>IF(J100="진출",I100,"")</x:f>
        <x:v/>
      </x:c>
      <x:c r="L100" s="4"/>
      <x:c r="M100" s="3" t="str">
        <x:f>IF(OR(F100="",L100=""),"",F100+L100)</x:f>
        <x:v/>
      </x:c>
    </x:row>
    <x:row r="101" spans="1:13">
      <x:c r="A101" s="3">
        <x:f>'1_참가선수입력'!A101</x:f>
        <x:v>98</x:v>
      </x:c>
      <x:c r="B101" s="3">
        <x:f>'1_참가선수입력'!E101</x:f>
        <x:v>0</x:v>
      </x:c>
      <x:c r="C101" s="3">
        <x:f>'1_참가선수입력'!C101</x:f>
        <x:v>0</x:v>
      </x:c>
      <x:c r="D101" s="3">
        <x:f>'1_참가선수입력'!D101</x:f>
        <x:v>0</x:v>
      </x:c>
      <x:c r="E101" s="3">
        <x:f>'1_참가선수입력'!F101</x:f>
        <x:v>0</x:v>
      </x:c>
      <x:c r="F101" s="4"/>
      <x:c r="G101" s="4"/>
      <x:c r="H101" s="3" t="str">
        <x:f>IF(F101="","",F101+A101/10000)</x:f>
        <x:v/>
      </x:c>
      <x:c r="I101" s="3" t="str">
        <x:f>IF(F101="","",RANK(H101,$H$4:$H$213,1))</x:f>
        <x:v/>
      </x:c>
      <x:c r="J101" s="3" t="str">
        <x:f>IF(I101="","",IF(I101&lt;=104,"진출",""))</x:f>
        <x:v/>
      </x:c>
      <x:c r="K101" s="3" t="str">
        <x:f>IF(J101="진출",I101,"")</x:f>
        <x:v/>
      </x:c>
      <x:c r="L101" s="4"/>
      <x:c r="M101" s="3" t="str">
        <x:f>IF(OR(F101="",L101=""),"",F101+L101)</x:f>
        <x:v/>
      </x:c>
    </x:row>
    <x:row r="102" spans="1:13">
      <x:c r="A102" s="3">
        <x:f>'1_참가선수입력'!A102</x:f>
        <x:v>99</x:v>
      </x:c>
      <x:c r="B102" s="3">
        <x:f>'1_참가선수입력'!E102</x:f>
        <x:v>0</x:v>
      </x:c>
      <x:c r="C102" s="3">
        <x:f>'1_참가선수입력'!C102</x:f>
        <x:v>0</x:v>
      </x:c>
      <x:c r="D102" s="3">
        <x:f>'1_참가선수입력'!D102</x:f>
        <x:v>0</x:v>
      </x:c>
      <x:c r="E102" s="3">
        <x:f>'1_참가선수입력'!F102</x:f>
        <x:v>0</x:v>
      </x:c>
      <x:c r="F102" s="4"/>
      <x:c r="G102" s="4"/>
      <x:c r="H102" s="3" t="str">
        <x:f>IF(F102="","",F102+A102/10000)</x:f>
        <x:v/>
      </x:c>
      <x:c r="I102" s="3" t="str">
        <x:f>IF(F102="","",RANK(H102,$H$4:$H$213,1))</x:f>
        <x:v/>
      </x:c>
      <x:c r="J102" s="3" t="str">
        <x:f>IF(I102="","",IF(I102&lt;=104,"진출",""))</x:f>
        <x:v/>
      </x:c>
      <x:c r="K102" s="3" t="str">
        <x:f>IF(J102="진출",I102,"")</x:f>
        <x:v/>
      </x:c>
      <x:c r="L102" s="4"/>
      <x:c r="M102" s="3" t="str">
        <x:f>IF(OR(F102="",L102=""),"",F102+L102)</x:f>
        <x:v/>
      </x:c>
    </x:row>
    <x:row r="103" spans="1:13">
      <x:c r="A103" s="3">
        <x:f>'1_참가선수입력'!A103</x:f>
        <x:v>100</x:v>
      </x:c>
      <x:c r="B103" s="3">
        <x:f>'1_참가선수입력'!E103</x:f>
        <x:v>0</x:v>
      </x:c>
      <x:c r="C103" s="3">
        <x:f>'1_참가선수입력'!C103</x:f>
        <x:v>0</x:v>
      </x:c>
      <x:c r="D103" s="3">
        <x:f>'1_참가선수입력'!D103</x:f>
        <x:v>0</x:v>
      </x:c>
      <x:c r="E103" s="3">
        <x:f>'1_참가선수입력'!F103</x:f>
        <x:v>0</x:v>
      </x:c>
      <x:c r="F103" s="4"/>
      <x:c r="G103" s="4"/>
      <x:c r="H103" s="3" t="str">
        <x:f>IF(F103="","",F103+A103/10000)</x:f>
        <x:v/>
      </x:c>
      <x:c r="I103" s="3" t="str">
        <x:f>IF(F103="","",RANK(H103,$H$4:$H$213,1))</x:f>
        <x:v/>
      </x:c>
      <x:c r="J103" s="3" t="str">
        <x:f>IF(I103="","",IF(I103&lt;=104,"진출",""))</x:f>
        <x:v/>
      </x:c>
      <x:c r="K103" s="3" t="str">
        <x:f>IF(J103="진출",I103,"")</x:f>
        <x:v/>
      </x:c>
      <x:c r="L103" s="4"/>
      <x:c r="M103" s="3" t="str">
        <x:f>IF(OR(F103="",L103=""),"",F103+L103)</x:f>
        <x:v/>
      </x:c>
    </x:row>
    <x:row r="104" spans="1:13">
      <x:c r="A104" s="3">
        <x:f>'1_참가선수입력'!A104</x:f>
        <x:v>101</x:v>
      </x:c>
      <x:c r="B104" s="3">
        <x:f>'1_참가선수입력'!E104</x:f>
        <x:v>0</x:v>
      </x:c>
      <x:c r="C104" s="3">
        <x:f>'1_참가선수입력'!C104</x:f>
        <x:v>0</x:v>
      </x:c>
      <x:c r="D104" s="3">
        <x:f>'1_참가선수입력'!D104</x:f>
        <x:v>0</x:v>
      </x:c>
      <x:c r="E104" s="3">
        <x:f>'1_참가선수입력'!F104</x:f>
        <x:v>0</x:v>
      </x:c>
      <x:c r="F104" s="4"/>
      <x:c r="G104" s="4"/>
      <x:c r="H104" s="3" t="str">
        <x:f>IF(F104="","",F104+A104/10000)</x:f>
        <x:v/>
      </x:c>
      <x:c r="I104" s="3" t="str">
        <x:f>IF(F104="","",RANK(H104,$H$4:$H$213,1))</x:f>
        <x:v/>
      </x:c>
      <x:c r="J104" s="3" t="str">
        <x:f>IF(I104="","",IF(I104&lt;=104,"진출",""))</x:f>
        <x:v/>
      </x:c>
      <x:c r="K104" s="3" t="str">
        <x:f>IF(J104="진출",I104,"")</x:f>
        <x:v/>
      </x:c>
      <x:c r="L104" s="4"/>
      <x:c r="M104" s="3" t="str">
        <x:f>IF(OR(F104="",L104=""),"",F104+L104)</x:f>
        <x:v/>
      </x:c>
    </x:row>
    <x:row r="105" spans="1:13">
      <x:c r="A105" s="3">
        <x:f>'1_참가선수입력'!A105</x:f>
        <x:v>102</x:v>
      </x:c>
      <x:c r="B105" s="3">
        <x:f>'1_참가선수입력'!E105</x:f>
        <x:v>0</x:v>
      </x:c>
      <x:c r="C105" s="3">
        <x:f>'1_참가선수입력'!C105</x:f>
        <x:v>0</x:v>
      </x:c>
      <x:c r="D105" s="3">
        <x:f>'1_참가선수입력'!D105</x:f>
        <x:v>0</x:v>
      </x:c>
      <x:c r="E105" s="3">
        <x:f>'1_참가선수입력'!F105</x:f>
        <x:v>0</x:v>
      </x:c>
      <x:c r="F105" s="4"/>
      <x:c r="G105" s="4"/>
      <x:c r="H105" s="3" t="str">
        <x:f>IF(F105="","",F105+A105/10000)</x:f>
        <x:v/>
      </x:c>
      <x:c r="I105" s="3" t="str">
        <x:f>IF(F105="","",RANK(H105,$H$4:$H$213,1))</x:f>
        <x:v/>
      </x:c>
      <x:c r="J105" s="3" t="str">
        <x:f>IF(I105="","",IF(I105&lt;=104,"진출",""))</x:f>
        <x:v/>
      </x:c>
      <x:c r="K105" s="3" t="str">
        <x:f>IF(J105="진출",I105,"")</x:f>
        <x:v/>
      </x:c>
      <x:c r="L105" s="4"/>
      <x:c r="M105" s="3" t="str">
        <x:f>IF(OR(F105="",L105=""),"",F105+L105)</x:f>
        <x:v/>
      </x:c>
    </x:row>
    <x:row r="106" spans="1:13">
      <x:c r="A106" s="3">
        <x:f>'1_참가선수입력'!A106</x:f>
        <x:v>103</x:v>
      </x:c>
      <x:c r="B106" s="3">
        <x:f>'1_참가선수입력'!E106</x:f>
        <x:v>0</x:v>
      </x:c>
      <x:c r="C106" s="3">
        <x:f>'1_참가선수입력'!C106</x:f>
        <x:v>0</x:v>
      </x:c>
      <x:c r="D106" s="3">
        <x:f>'1_참가선수입력'!D106</x:f>
        <x:v>0</x:v>
      </x:c>
      <x:c r="E106" s="3">
        <x:f>'1_참가선수입력'!F106</x:f>
        <x:v>0</x:v>
      </x:c>
      <x:c r="F106" s="4"/>
      <x:c r="G106" s="4"/>
      <x:c r="H106" s="3" t="str">
        <x:f>IF(F106="","",F106+A106/10000)</x:f>
        <x:v/>
      </x:c>
      <x:c r="I106" s="3" t="str">
        <x:f>IF(F106="","",RANK(H106,$H$4:$H$213,1))</x:f>
        <x:v/>
      </x:c>
      <x:c r="J106" s="3" t="str">
        <x:f>IF(I106="","",IF(I106&lt;=104,"진출",""))</x:f>
        <x:v/>
      </x:c>
      <x:c r="K106" s="3" t="str">
        <x:f>IF(J106="진출",I106,"")</x:f>
        <x:v/>
      </x:c>
      <x:c r="L106" s="4"/>
      <x:c r="M106" s="3" t="str">
        <x:f>IF(OR(F106="",L106=""),"",F106+L106)</x:f>
        <x:v/>
      </x:c>
    </x:row>
    <x:row r="107" spans="1:13">
      <x:c r="A107" s="3">
        <x:f>'1_참가선수입력'!A107</x:f>
        <x:v>104</x:v>
      </x:c>
      <x:c r="B107" s="3">
        <x:f>'1_참가선수입력'!E107</x:f>
        <x:v>0</x:v>
      </x:c>
      <x:c r="C107" s="3">
        <x:f>'1_참가선수입력'!C107</x:f>
        <x:v>0</x:v>
      </x:c>
      <x:c r="D107" s="3">
        <x:f>'1_참가선수입력'!D107</x:f>
        <x:v>0</x:v>
      </x:c>
      <x:c r="E107" s="3">
        <x:f>'1_참가선수입력'!F107</x:f>
        <x:v>0</x:v>
      </x:c>
      <x:c r="F107" s="4"/>
      <x:c r="G107" s="4"/>
      <x:c r="H107" s="3" t="str">
        <x:f>IF(F107="","",F107+A107/10000)</x:f>
        <x:v/>
      </x:c>
      <x:c r="I107" s="3" t="str">
        <x:f>IF(F107="","",RANK(H107,$H$4:$H$213,1))</x:f>
        <x:v/>
      </x:c>
      <x:c r="J107" s="3" t="str">
        <x:f>IF(I107="","",IF(I107&lt;=104,"진출",""))</x:f>
        <x:v/>
      </x:c>
      <x:c r="K107" s="3" t="str">
        <x:f>IF(J107="진출",I107,"")</x:f>
        <x:v/>
      </x:c>
      <x:c r="L107" s="4"/>
      <x:c r="M107" s="3" t="str">
        <x:f>IF(OR(F107="",L107=""),"",F107+L107)</x:f>
        <x:v/>
      </x:c>
    </x:row>
    <x:row r="108" spans="1:13">
      <x:c r="A108" s="3">
        <x:f>'1_참가선수입력'!A108</x:f>
        <x:v>105</x:v>
      </x:c>
      <x:c r="B108" s="3">
        <x:f>'1_참가선수입력'!E108</x:f>
        <x:v>0</x:v>
      </x:c>
      <x:c r="C108" s="3">
        <x:f>'1_참가선수입력'!C108</x:f>
        <x:v>0</x:v>
      </x:c>
      <x:c r="D108" s="3">
        <x:f>'1_참가선수입력'!D108</x:f>
        <x:v>0</x:v>
      </x:c>
      <x:c r="E108" s="3">
        <x:f>'1_참가선수입력'!F108</x:f>
        <x:v>0</x:v>
      </x:c>
      <x:c r="F108" s="4"/>
      <x:c r="G108" s="4"/>
      <x:c r="H108" s="3" t="str">
        <x:f>IF(F108="","",F108+A108/10000)</x:f>
        <x:v/>
      </x:c>
      <x:c r="I108" s="3" t="str">
        <x:f>IF(F108="","",RANK(H108,$H$4:$H$213,1))</x:f>
        <x:v/>
      </x:c>
      <x:c r="J108" s="3" t="str">
        <x:f>IF(I108="","",IF(I108&lt;=104,"진출",""))</x:f>
        <x:v/>
      </x:c>
      <x:c r="K108" s="3" t="str">
        <x:f>IF(J108="진출",I108,"")</x:f>
        <x:v/>
      </x:c>
      <x:c r="L108" s="4"/>
      <x:c r="M108" s="3" t="str">
        <x:f>IF(OR(F108="",L108=""),"",F108+L108)</x:f>
        <x:v/>
      </x:c>
    </x:row>
    <x:row r="109" spans="1:13">
      <x:c r="A109" s="3">
        <x:f>'1_참가선수입력'!A109</x:f>
        <x:v>106</x:v>
      </x:c>
      <x:c r="B109" s="3">
        <x:f>'1_참가선수입력'!E109</x:f>
        <x:v>0</x:v>
      </x:c>
      <x:c r="C109" s="3">
        <x:f>'1_참가선수입력'!C109</x:f>
        <x:v>0</x:v>
      </x:c>
      <x:c r="D109" s="3">
        <x:f>'1_참가선수입력'!D109</x:f>
        <x:v>0</x:v>
      </x:c>
      <x:c r="E109" s="3">
        <x:f>'1_참가선수입력'!F109</x:f>
        <x:v>0</x:v>
      </x:c>
      <x:c r="F109" s="4"/>
      <x:c r="G109" s="4"/>
      <x:c r="H109" s="3" t="str">
        <x:f>IF(F109="","",F109+A109/10000)</x:f>
        <x:v/>
      </x:c>
      <x:c r="I109" s="3" t="str">
        <x:f>IF(F109="","",RANK(H109,$H$4:$H$213,1))</x:f>
        <x:v/>
      </x:c>
      <x:c r="J109" s="3" t="str">
        <x:f>IF(I109="","",IF(I109&lt;=104,"진출",""))</x:f>
        <x:v/>
      </x:c>
      <x:c r="K109" s="3" t="str">
        <x:f>IF(J109="진출",I109,"")</x:f>
        <x:v/>
      </x:c>
      <x:c r="L109" s="4"/>
      <x:c r="M109" s="3" t="str">
        <x:f>IF(OR(F109="",L109=""),"",F109+L109)</x:f>
        <x:v/>
      </x:c>
    </x:row>
    <x:row r="110" spans="1:13">
      <x:c r="A110" s="3">
        <x:f>'1_참가선수입력'!A110</x:f>
        <x:v>107</x:v>
      </x:c>
      <x:c r="B110" s="3">
        <x:f>'1_참가선수입력'!E110</x:f>
        <x:v>0</x:v>
      </x:c>
      <x:c r="C110" s="3">
        <x:f>'1_참가선수입력'!C110</x:f>
        <x:v>0</x:v>
      </x:c>
      <x:c r="D110" s="3">
        <x:f>'1_참가선수입력'!D110</x:f>
        <x:v>0</x:v>
      </x:c>
      <x:c r="E110" s="3">
        <x:f>'1_참가선수입력'!F110</x:f>
        <x:v>0</x:v>
      </x:c>
      <x:c r="F110" s="4"/>
      <x:c r="G110" s="4"/>
      <x:c r="H110" s="3" t="str">
        <x:f>IF(F110="","",F110+A110/10000)</x:f>
        <x:v/>
      </x:c>
      <x:c r="I110" s="3" t="str">
        <x:f>IF(F110="","",RANK(H110,$H$4:$H$213,1))</x:f>
        <x:v/>
      </x:c>
      <x:c r="J110" s="3" t="str">
        <x:f>IF(I110="","",IF(I110&lt;=104,"진출",""))</x:f>
        <x:v/>
      </x:c>
      <x:c r="K110" s="3" t="str">
        <x:f>IF(J110="진출",I110,"")</x:f>
        <x:v/>
      </x:c>
      <x:c r="L110" s="4"/>
      <x:c r="M110" s="3" t="str">
        <x:f>IF(OR(F110="",L110=""),"",F110+L110)</x:f>
        <x:v/>
      </x:c>
    </x:row>
    <x:row r="111" spans="1:13">
      <x:c r="A111" s="3">
        <x:f>'1_참가선수입력'!A111</x:f>
        <x:v>108</x:v>
      </x:c>
      <x:c r="B111" s="3">
        <x:f>'1_참가선수입력'!E111</x:f>
        <x:v>0</x:v>
      </x:c>
      <x:c r="C111" s="3">
        <x:f>'1_참가선수입력'!C111</x:f>
        <x:v>0</x:v>
      </x:c>
      <x:c r="D111" s="3">
        <x:f>'1_참가선수입력'!D111</x:f>
        <x:v>0</x:v>
      </x:c>
      <x:c r="E111" s="3">
        <x:f>'1_참가선수입력'!F111</x:f>
        <x:v>0</x:v>
      </x:c>
      <x:c r="F111" s="4"/>
      <x:c r="G111" s="4"/>
      <x:c r="H111" s="3" t="str">
        <x:f>IF(F111="","",F111+A111/10000)</x:f>
        <x:v/>
      </x:c>
      <x:c r="I111" s="3" t="str">
        <x:f>IF(F111="","",RANK(H111,$H$4:$H$213,1))</x:f>
        <x:v/>
      </x:c>
      <x:c r="J111" s="3" t="str">
        <x:f>IF(I111="","",IF(I111&lt;=104,"진출",""))</x:f>
        <x:v/>
      </x:c>
      <x:c r="K111" s="3" t="str">
        <x:f>IF(J111="진출",I111,"")</x:f>
        <x:v/>
      </x:c>
      <x:c r="L111" s="4"/>
      <x:c r="M111" s="3" t="str">
        <x:f>IF(OR(F111="",L111=""),"",F111+L111)</x:f>
        <x:v/>
      </x:c>
    </x:row>
    <x:row r="112" spans="1:13">
      <x:c r="A112" s="3">
        <x:f>'1_참가선수입력'!A112</x:f>
        <x:v>109</x:v>
      </x:c>
      <x:c r="B112" s="3">
        <x:f>'1_참가선수입력'!E112</x:f>
        <x:v>0</x:v>
      </x:c>
      <x:c r="C112" s="3">
        <x:f>'1_참가선수입력'!C112</x:f>
        <x:v>0</x:v>
      </x:c>
      <x:c r="D112" s="3">
        <x:f>'1_참가선수입력'!D112</x:f>
        <x:v>0</x:v>
      </x:c>
      <x:c r="E112" s="3">
        <x:f>'1_참가선수입력'!F112</x:f>
        <x:v>0</x:v>
      </x:c>
      <x:c r="F112" s="4"/>
      <x:c r="G112" s="4"/>
      <x:c r="H112" s="3" t="str">
        <x:f>IF(F112="","",F112+A112/10000)</x:f>
        <x:v/>
      </x:c>
      <x:c r="I112" s="3" t="str">
        <x:f>IF(F112="","",RANK(H112,$H$4:$H$213,1))</x:f>
        <x:v/>
      </x:c>
      <x:c r="J112" s="3" t="str">
        <x:f>IF(I112="","",IF(I112&lt;=104,"진출",""))</x:f>
        <x:v/>
      </x:c>
      <x:c r="K112" s="3" t="str">
        <x:f>IF(J112="진출",I112,"")</x:f>
        <x:v/>
      </x:c>
      <x:c r="L112" s="4"/>
      <x:c r="M112" s="3" t="str">
        <x:f>IF(OR(F112="",L112=""),"",F112+L112)</x:f>
        <x:v/>
      </x:c>
    </x:row>
    <x:row r="113" spans="1:13">
      <x:c r="A113" s="3">
        <x:f>'1_참가선수입력'!A113</x:f>
        <x:v>110</x:v>
      </x:c>
      <x:c r="B113" s="3">
        <x:f>'1_참가선수입력'!E113</x:f>
        <x:v>0</x:v>
      </x:c>
      <x:c r="C113" s="3">
        <x:f>'1_참가선수입력'!C113</x:f>
        <x:v>0</x:v>
      </x:c>
      <x:c r="D113" s="3">
        <x:f>'1_참가선수입력'!D113</x:f>
        <x:v>0</x:v>
      </x:c>
      <x:c r="E113" s="3">
        <x:f>'1_참가선수입력'!F113</x:f>
        <x:v>0</x:v>
      </x:c>
      <x:c r="F113" s="4"/>
      <x:c r="G113" s="4"/>
      <x:c r="H113" s="3" t="str">
        <x:f>IF(F113="","",F113+A113/10000)</x:f>
        <x:v/>
      </x:c>
      <x:c r="I113" s="3" t="str">
        <x:f>IF(F113="","",RANK(H113,$H$4:$H$213,1))</x:f>
        <x:v/>
      </x:c>
      <x:c r="J113" s="3" t="str">
        <x:f>IF(I113="","",IF(I113&lt;=104,"진출",""))</x:f>
        <x:v/>
      </x:c>
      <x:c r="K113" s="3" t="str">
        <x:f>IF(J113="진출",I113,"")</x:f>
        <x:v/>
      </x:c>
      <x:c r="L113" s="4"/>
      <x:c r="M113" s="3" t="str">
        <x:f>IF(OR(F113="",L113=""),"",F113+L113)</x:f>
        <x:v/>
      </x:c>
    </x:row>
    <x:row r="114" spans="1:13">
      <x:c r="A114" s="3">
        <x:f>'1_참가선수입력'!A114</x:f>
        <x:v>111</x:v>
      </x:c>
      <x:c r="B114" s="3">
        <x:f>'1_참가선수입력'!E114</x:f>
        <x:v>0</x:v>
      </x:c>
      <x:c r="C114" s="3">
        <x:f>'1_참가선수입력'!C114</x:f>
        <x:v>0</x:v>
      </x:c>
      <x:c r="D114" s="3">
        <x:f>'1_참가선수입력'!D114</x:f>
        <x:v>0</x:v>
      </x:c>
      <x:c r="E114" s="3">
        <x:f>'1_참가선수입력'!F114</x:f>
        <x:v>0</x:v>
      </x:c>
      <x:c r="F114" s="4"/>
      <x:c r="G114" s="4"/>
      <x:c r="H114" s="3" t="str">
        <x:f>IF(F114="","",F114+A114/10000)</x:f>
        <x:v/>
      </x:c>
      <x:c r="I114" s="3" t="str">
        <x:f>IF(F114="","",RANK(H114,$H$4:$H$213,1))</x:f>
        <x:v/>
      </x:c>
      <x:c r="J114" s="3" t="str">
        <x:f>IF(I114="","",IF(I114&lt;=104,"진출",""))</x:f>
        <x:v/>
      </x:c>
      <x:c r="K114" s="3" t="str">
        <x:f>IF(J114="진출",I114,"")</x:f>
        <x:v/>
      </x:c>
      <x:c r="L114" s="4"/>
      <x:c r="M114" s="3" t="str">
        <x:f>IF(OR(F114="",L114=""),"",F114+L114)</x:f>
        <x:v/>
      </x:c>
    </x:row>
    <x:row r="115" spans="1:13">
      <x:c r="A115" s="3">
        <x:f>'1_참가선수입력'!A115</x:f>
        <x:v>112</x:v>
      </x:c>
      <x:c r="B115" s="3">
        <x:f>'1_참가선수입력'!E115</x:f>
        <x:v>0</x:v>
      </x:c>
      <x:c r="C115" s="3">
        <x:f>'1_참가선수입력'!C115</x:f>
        <x:v>0</x:v>
      </x:c>
      <x:c r="D115" s="3">
        <x:f>'1_참가선수입력'!D115</x:f>
        <x:v>0</x:v>
      </x:c>
      <x:c r="E115" s="3">
        <x:f>'1_참가선수입력'!F115</x:f>
        <x:v>0</x:v>
      </x:c>
      <x:c r="F115" s="4"/>
      <x:c r="G115" s="4"/>
      <x:c r="H115" s="3" t="str">
        <x:f>IF(F115="","",F115+A115/10000)</x:f>
        <x:v/>
      </x:c>
      <x:c r="I115" s="3" t="str">
        <x:f>IF(F115="","",RANK(H115,$H$4:$H$213,1))</x:f>
        <x:v/>
      </x:c>
      <x:c r="J115" s="3" t="str">
        <x:f>IF(I115="","",IF(I115&lt;=104,"진출",""))</x:f>
        <x:v/>
      </x:c>
      <x:c r="K115" s="3" t="str">
        <x:f>IF(J115="진출",I115,"")</x:f>
        <x:v/>
      </x:c>
      <x:c r="L115" s="4"/>
      <x:c r="M115" s="3" t="str">
        <x:f>IF(OR(F115="",L115=""),"",F115+L115)</x:f>
        <x:v/>
      </x:c>
    </x:row>
    <x:row r="116" spans="1:13">
      <x:c r="A116" s="3">
        <x:f>'1_참가선수입력'!A116</x:f>
        <x:v>113</x:v>
      </x:c>
      <x:c r="B116" s="3">
        <x:f>'1_참가선수입력'!E116</x:f>
        <x:v>0</x:v>
      </x:c>
      <x:c r="C116" s="3">
        <x:f>'1_참가선수입력'!C116</x:f>
        <x:v>0</x:v>
      </x:c>
      <x:c r="D116" s="3">
        <x:f>'1_참가선수입력'!D116</x:f>
        <x:v>0</x:v>
      </x:c>
      <x:c r="E116" s="3">
        <x:f>'1_참가선수입력'!F116</x:f>
        <x:v>0</x:v>
      </x:c>
      <x:c r="F116" s="4"/>
      <x:c r="G116" s="4"/>
      <x:c r="H116" s="3" t="str">
        <x:f>IF(F116="","",F116+A116/10000)</x:f>
        <x:v/>
      </x:c>
      <x:c r="I116" s="3" t="str">
        <x:f>IF(F116="","",RANK(H116,$H$4:$H$213,1))</x:f>
        <x:v/>
      </x:c>
      <x:c r="J116" s="3" t="str">
        <x:f>IF(I116="","",IF(I116&lt;=104,"진출",""))</x:f>
        <x:v/>
      </x:c>
      <x:c r="K116" s="3" t="str">
        <x:f>IF(J116="진출",I116,"")</x:f>
        <x:v/>
      </x:c>
      <x:c r="L116" s="4"/>
      <x:c r="M116" s="3" t="str">
        <x:f>IF(OR(F116="",L116=""),"",F116+L116)</x:f>
        <x:v/>
      </x:c>
    </x:row>
    <x:row r="117" spans="1:13">
      <x:c r="A117" s="3">
        <x:f>'1_참가선수입력'!A117</x:f>
        <x:v>114</x:v>
      </x:c>
      <x:c r="B117" s="3">
        <x:f>'1_참가선수입력'!E117</x:f>
        <x:v>0</x:v>
      </x:c>
      <x:c r="C117" s="3">
        <x:f>'1_참가선수입력'!C117</x:f>
        <x:v>0</x:v>
      </x:c>
      <x:c r="D117" s="3">
        <x:f>'1_참가선수입력'!D117</x:f>
        <x:v>0</x:v>
      </x:c>
      <x:c r="E117" s="3">
        <x:f>'1_참가선수입력'!F117</x:f>
        <x:v>0</x:v>
      </x:c>
      <x:c r="F117" s="4"/>
      <x:c r="G117" s="4"/>
      <x:c r="H117" s="3" t="str">
        <x:f>IF(F117="","",F117+A117/10000)</x:f>
        <x:v/>
      </x:c>
      <x:c r="I117" s="3" t="str">
        <x:f>IF(F117="","",RANK(H117,$H$4:$H$213,1))</x:f>
        <x:v/>
      </x:c>
      <x:c r="J117" s="3" t="str">
        <x:f>IF(I117="","",IF(I117&lt;=104,"진출",""))</x:f>
        <x:v/>
      </x:c>
      <x:c r="K117" s="3" t="str">
        <x:f>IF(J117="진출",I117,"")</x:f>
        <x:v/>
      </x:c>
      <x:c r="L117" s="4"/>
      <x:c r="M117" s="3" t="str">
        <x:f>IF(OR(F117="",L117=""),"",F117+L117)</x:f>
        <x:v/>
      </x:c>
    </x:row>
    <x:row r="118" spans="1:13">
      <x:c r="A118" s="3">
        <x:f>'1_참가선수입력'!A118</x:f>
        <x:v>115</x:v>
      </x:c>
      <x:c r="B118" s="3">
        <x:f>'1_참가선수입력'!E118</x:f>
        <x:v>0</x:v>
      </x:c>
      <x:c r="C118" s="3">
        <x:f>'1_참가선수입력'!C118</x:f>
        <x:v>0</x:v>
      </x:c>
      <x:c r="D118" s="3">
        <x:f>'1_참가선수입력'!D118</x:f>
        <x:v>0</x:v>
      </x:c>
      <x:c r="E118" s="3">
        <x:f>'1_참가선수입력'!F118</x:f>
        <x:v>0</x:v>
      </x:c>
      <x:c r="F118" s="4"/>
      <x:c r="G118" s="4"/>
      <x:c r="H118" s="3" t="str">
        <x:f>IF(F118="","",F118+A118/10000)</x:f>
        <x:v/>
      </x:c>
      <x:c r="I118" s="3" t="str">
        <x:f>IF(F118="","",RANK(H118,$H$4:$H$213,1))</x:f>
        <x:v/>
      </x:c>
      <x:c r="J118" s="3" t="str">
        <x:f>IF(I118="","",IF(I118&lt;=104,"진출",""))</x:f>
        <x:v/>
      </x:c>
      <x:c r="K118" s="3" t="str">
        <x:f>IF(J118="진출",I118,"")</x:f>
        <x:v/>
      </x:c>
      <x:c r="L118" s="4"/>
      <x:c r="M118" s="3" t="str">
        <x:f>IF(OR(F118="",L118=""),"",F118+L118)</x:f>
        <x:v/>
      </x:c>
    </x:row>
    <x:row r="119" spans="1:13">
      <x:c r="A119" s="3">
        <x:f>'1_참가선수입력'!A119</x:f>
        <x:v>116</x:v>
      </x:c>
      <x:c r="B119" s="3">
        <x:f>'1_참가선수입력'!E119</x:f>
        <x:v>0</x:v>
      </x:c>
      <x:c r="C119" s="3">
        <x:f>'1_참가선수입력'!C119</x:f>
        <x:v>0</x:v>
      </x:c>
      <x:c r="D119" s="3">
        <x:f>'1_참가선수입력'!D119</x:f>
        <x:v>0</x:v>
      </x:c>
      <x:c r="E119" s="3">
        <x:f>'1_참가선수입력'!F119</x:f>
        <x:v>0</x:v>
      </x:c>
      <x:c r="F119" s="4"/>
      <x:c r="G119" s="4"/>
      <x:c r="H119" s="3" t="str">
        <x:f>IF(F119="","",F119+A119/10000)</x:f>
        <x:v/>
      </x:c>
      <x:c r="I119" s="3" t="str">
        <x:f>IF(F119="","",RANK(H119,$H$4:$H$213,1))</x:f>
        <x:v/>
      </x:c>
      <x:c r="J119" s="3" t="str">
        <x:f>IF(I119="","",IF(I119&lt;=104,"진출",""))</x:f>
        <x:v/>
      </x:c>
      <x:c r="K119" s="3" t="str">
        <x:f>IF(J119="진출",I119,"")</x:f>
        <x:v/>
      </x:c>
      <x:c r="L119" s="4"/>
      <x:c r="M119" s="3" t="str">
        <x:f>IF(OR(F119="",L119=""),"",F119+L119)</x:f>
        <x:v/>
      </x:c>
    </x:row>
    <x:row r="120" spans="1:13">
      <x:c r="A120" s="3">
        <x:f>'1_참가선수입력'!A120</x:f>
        <x:v>117</x:v>
      </x:c>
      <x:c r="B120" s="3">
        <x:f>'1_참가선수입력'!E120</x:f>
        <x:v>0</x:v>
      </x:c>
      <x:c r="C120" s="3">
        <x:f>'1_참가선수입력'!C120</x:f>
        <x:v>0</x:v>
      </x:c>
      <x:c r="D120" s="3">
        <x:f>'1_참가선수입력'!D120</x:f>
        <x:v>0</x:v>
      </x:c>
      <x:c r="E120" s="3">
        <x:f>'1_참가선수입력'!F120</x:f>
        <x:v>0</x:v>
      </x:c>
      <x:c r="F120" s="4"/>
      <x:c r="G120" s="4"/>
      <x:c r="H120" s="3" t="str">
        <x:f>IF(F120="","",F120+A120/10000)</x:f>
        <x:v/>
      </x:c>
      <x:c r="I120" s="3" t="str">
        <x:f>IF(F120="","",RANK(H120,$H$4:$H$213,1))</x:f>
        <x:v/>
      </x:c>
      <x:c r="J120" s="3" t="str">
        <x:f>IF(I120="","",IF(I120&lt;=104,"진출",""))</x:f>
        <x:v/>
      </x:c>
      <x:c r="K120" s="3" t="str">
        <x:f>IF(J120="진출",I120,"")</x:f>
        <x:v/>
      </x:c>
      <x:c r="L120" s="4"/>
      <x:c r="M120" s="3" t="str">
        <x:f>IF(OR(F120="",L120=""),"",F120+L120)</x:f>
        <x:v/>
      </x:c>
    </x:row>
    <x:row r="121" spans="1:13">
      <x:c r="A121" s="3">
        <x:f>'1_참가선수입력'!A121</x:f>
        <x:v>118</x:v>
      </x:c>
      <x:c r="B121" s="3">
        <x:f>'1_참가선수입력'!E121</x:f>
        <x:v>0</x:v>
      </x:c>
      <x:c r="C121" s="3">
        <x:f>'1_참가선수입력'!C121</x:f>
        <x:v>0</x:v>
      </x:c>
      <x:c r="D121" s="3">
        <x:f>'1_참가선수입력'!D121</x:f>
        <x:v>0</x:v>
      </x:c>
      <x:c r="E121" s="3">
        <x:f>'1_참가선수입력'!F121</x:f>
        <x:v>0</x:v>
      </x:c>
      <x:c r="F121" s="4"/>
      <x:c r="G121" s="4"/>
      <x:c r="H121" s="3" t="str">
        <x:f>IF(F121="","",F121+A121/10000)</x:f>
        <x:v/>
      </x:c>
      <x:c r="I121" s="3" t="str">
        <x:f>IF(F121="","",RANK(H121,$H$4:$H$213,1))</x:f>
        <x:v/>
      </x:c>
      <x:c r="J121" s="3" t="str">
        <x:f>IF(I121="","",IF(I121&lt;=104,"진출",""))</x:f>
        <x:v/>
      </x:c>
      <x:c r="K121" s="3" t="str">
        <x:f>IF(J121="진출",I121,"")</x:f>
        <x:v/>
      </x:c>
      <x:c r="L121" s="4"/>
      <x:c r="M121" s="3" t="str">
        <x:f>IF(OR(F121="",L121=""),"",F121+L121)</x:f>
        <x:v/>
      </x:c>
    </x:row>
    <x:row r="122" spans="1:13">
      <x:c r="A122" s="3">
        <x:f>'1_참가선수입력'!A122</x:f>
        <x:v>119</x:v>
      </x:c>
      <x:c r="B122" s="3">
        <x:f>'1_참가선수입력'!E122</x:f>
        <x:v>0</x:v>
      </x:c>
      <x:c r="C122" s="3">
        <x:f>'1_참가선수입력'!C122</x:f>
        <x:v>0</x:v>
      </x:c>
      <x:c r="D122" s="3">
        <x:f>'1_참가선수입력'!D122</x:f>
        <x:v>0</x:v>
      </x:c>
      <x:c r="E122" s="3">
        <x:f>'1_참가선수입력'!F122</x:f>
        <x:v>0</x:v>
      </x:c>
      <x:c r="F122" s="4"/>
      <x:c r="G122" s="4"/>
      <x:c r="H122" s="3" t="str">
        <x:f>IF(F122="","",F122+A122/10000)</x:f>
        <x:v/>
      </x:c>
      <x:c r="I122" s="3" t="str">
        <x:f>IF(F122="","",RANK(H122,$H$4:$H$213,1))</x:f>
        <x:v/>
      </x:c>
      <x:c r="J122" s="3" t="str">
        <x:f>IF(I122="","",IF(I122&lt;=104,"진출",""))</x:f>
        <x:v/>
      </x:c>
      <x:c r="K122" s="3" t="str">
        <x:f>IF(J122="진출",I122,"")</x:f>
        <x:v/>
      </x:c>
      <x:c r="L122" s="4"/>
      <x:c r="M122" s="3" t="str">
        <x:f>IF(OR(F122="",L122=""),"",F122+L122)</x:f>
        <x:v/>
      </x:c>
    </x:row>
    <x:row r="123" spans="1:13">
      <x:c r="A123" s="3">
        <x:f>'1_참가선수입력'!A123</x:f>
        <x:v>120</x:v>
      </x:c>
      <x:c r="B123" s="3">
        <x:f>'1_참가선수입력'!E123</x:f>
        <x:v>0</x:v>
      </x:c>
      <x:c r="C123" s="3">
        <x:f>'1_참가선수입력'!C123</x:f>
        <x:v>0</x:v>
      </x:c>
      <x:c r="D123" s="3">
        <x:f>'1_참가선수입력'!D123</x:f>
        <x:v>0</x:v>
      </x:c>
      <x:c r="E123" s="3">
        <x:f>'1_참가선수입력'!F123</x:f>
        <x:v>0</x:v>
      </x:c>
      <x:c r="F123" s="4"/>
      <x:c r="G123" s="4"/>
      <x:c r="H123" s="3" t="str">
        <x:f>IF(F123="","",F123+A123/10000)</x:f>
        <x:v/>
      </x:c>
      <x:c r="I123" s="3" t="str">
        <x:f>IF(F123="","",RANK(H123,$H$4:$H$213,1))</x:f>
        <x:v/>
      </x:c>
      <x:c r="J123" s="3" t="str">
        <x:f>IF(I123="","",IF(I123&lt;=104,"진출",""))</x:f>
        <x:v/>
      </x:c>
      <x:c r="K123" s="3" t="str">
        <x:f>IF(J123="진출",I123,"")</x:f>
        <x:v/>
      </x:c>
      <x:c r="L123" s="4"/>
      <x:c r="M123" s="3" t="str">
        <x:f>IF(OR(F123="",L123=""),"",F123+L123)</x:f>
        <x:v/>
      </x:c>
    </x:row>
    <x:row r="124" spans="1:13">
      <x:c r="A124" s="3">
        <x:f>'1_참가선수입력'!A124</x:f>
        <x:v>121</x:v>
      </x:c>
      <x:c r="B124" s="3">
        <x:f>'1_참가선수입력'!E124</x:f>
        <x:v>0</x:v>
      </x:c>
      <x:c r="C124" s="3">
        <x:f>'1_참가선수입력'!C124</x:f>
        <x:v>0</x:v>
      </x:c>
      <x:c r="D124" s="3">
        <x:f>'1_참가선수입력'!D124</x:f>
        <x:v>0</x:v>
      </x:c>
      <x:c r="E124" s="3">
        <x:f>'1_참가선수입력'!F124</x:f>
        <x:v>0</x:v>
      </x:c>
      <x:c r="F124" s="4"/>
      <x:c r="G124" s="4"/>
      <x:c r="H124" s="3" t="str">
        <x:f>IF(F124="","",F124+A124/10000)</x:f>
        <x:v/>
      </x:c>
      <x:c r="I124" s="3" t="str">
        <x:f>IF(F124="","",RANK(H124,$H$4:$H$213,1))</x:f>
        <x:v/>
      </x:c>
      <x:c r="J124" s="3" t="str">
        <x:f>IF(I124="","",IF(I124&lt;=104,"진출",""))</x:f>
        <x:v/>
      </x:c>
      <x:c r="K124" s="3" t="str">
        <x:f>IF(J124="진출",I124,"")</x:f>
        <x:v/>
      </x:c>
      <x:c r="L124" s="4"/>
      <x:c r="M124" s="3" t="str">
        <x:f>IF(OR(F124="",L124=""),"",F124+L124)</x:f>
        <x:v/>
      </x:c>
    </x:row>
    <x:row r="125" spans="1:13">
      <x:c r="A125" s="3">
        <x:f>'1_참가선수입력'!A125</x:f>
        <x:v>122</x:v>
      </x:c>
      <x:c r="B125" s="3">
        <x:f>'1_참가선수입력'!E125</x:f>
        <x:v>0</x:v>
      </x:c>
      <x:c r="C125" s="3">
        <x:f>'1_참가선수입력'!C125</x:f>
        <x:v>0</x:v>
      </x:c>
      <x:c r="D125" s="3">
        <x:f>'1_참가선수입력'!D125</x:f>
        <x:v>0</x:v>
      </x:c>
      <x:c r="E125" s="3">
        <x:f>'1_참가선수입력'!F125</x:f>
        <x:v>0</x:v>
      </x:c>
      <x:c r="F125" s="4"/>
      <x:c r="G125" s="4"/>
      <x:c r="H125" s="3" t="str">
        <x:f>IF(F125="","",F125+A125/10000)</x:f>
        <x:v/>
      </x:c>
      <x:c r="I125" s="3" t="str">
        <x:f>IF(F125="","",RANK(H125,$H$4:$H$213,1))</x:f>
        <x:v/>
      </x:c>
      <x:c r="J125" s="3" t="str">
        <x:f>IF(I125="","",IF(I125&lt;=104,"진출",""))</x:f>
        <x:v/>
      </x:c>
      <x:c r="K125" s="3" t="str">
        <x:f>IF(J125="진출",I125,"")</x:f>
        <x:v/>
      </x:c>
      <x:c r="L125" s="4"/>
      <x:c r="M125" s="3" t="str">
        <x:f>IF(OR(F125="",L125=""),"",F125+L125)</x:f>
        <x:v/>
      </x:c>
    </x:row>
    <x:row r="126" spans="1:13">
      <x:c r="A126" s="3">
        <x:f>'1_참가선수입력'!A126</x:f>
        <x:v>123</x:v>
      </x:c>
      <x:c r="B126" s="3">
        <x:f>'1_참가선수입력'!E126</x:f>
        <x:v>0</x:v>
      </x:c>
      <x:c r="C126" s="3">
        <x:f>'1_참가선수입력'!C126</x:f>
        <x:v>0</x:v>
      </x:c>
      <x:c r="D126" s="3">
        <x:f>'1_참가선수입력'!D126</x:f>
        <x:v>0</x:v>
      </x:c>
      <x:c r="E126" s="3">
        <x:f>'1_참가선수입력'!F126</x:f>
        <x:v>0</x:v>
      </x:c>
      <x:c r="F126" s="4"/>
      <x:c r="G126" s="4"/>
      <x:c r="H126" s="3" t="str">
        <x:f>IF(F126="","",F126+A126/10000)</x:f>
        <x:v/>
      </x:c>
      <x:c r="I126" s="3" t="str">
        <x:f>IF(F126="","",RANK(H126,$H$4:$H$213,1))</x:f>
        <x:v/>
      </x:c>
      <x:c r="J126" s="3" t="str">
        <x:f>IF(I126="","",IF(I126&lt;=104,"진출",""))</x:f>
        <x:v/>
      </x:c>
      <x:c r="K126" s="3" t="str">
        <x:f>IF(J126="진출",I126,"")</x:f>
        <x:v/>
      </x:c>
      <x:c r="L126" s="4"/>
      <x:c r="M126" s="3" t="str">
        <x:f>IF(OR(F126="",L126=""),"",F126+L126)</x:f>
        <x:v/>
      </x:c>
    </x:row>
    <x:row r="127" spans="1:13">
      <x:c r="A127" s="3">
        <x:f>'1_참가선수입력'!A127</x:f>
        <x:v>124</x:v>
      </x:c>
      <x:c r="B127" s="3">
        <x:f>'1_참가선수입력'!E127</x:f>
        <x:v>0</x:v>
      </x:c>
      <x:c r="C127" s="3">
        <x:f>'1_참가선수입력'!C127</x:f>
        <x:v>0</x:v>
      </x:c>
      <x:c r="D127" s="3">
        <x:f>'1_참가선수입력'!D127</x:f>
        <x:v>0</x:v>
      </x:c>
      <x:c r="E127" s="3">
        <x:f>'1_참가선수입력'!F127</x:f>
        <x:v>0</x:v>
      </x:c>
      <x:c r="F127" s="4"/>
      <x:c r="G127" s="4"/>
      <x:c r="H127" s="3" t="str">
        <x:f>IF(F127="","",F127+A127/10000)</x:f>
        <x:v/>
      </x:c>
      <x:c r="I127" s="3" t="str">
        <x:f>IF(F127="","",RANK(H127,$H$4:$H$213,1))</x:f>
        <x:v/>
      </x:c>
      <x:c r="J127" s="3" t="str">
        <x:f>IF(I127="","",IF(I127&lt;=104,"진출",""))</x:f>
        <x:v/>
      </x:c>
      <x:c r="K127" s="3" t="str">
        <x:f>IF(J127="진출",I127,"")</x:f>
        <x:v/>
      </x:c>
      <x:c r="L127" s="4"/>
      <x:c r="M127" s="3" t="str">
        <x:f>IF(OR(F127="",L127=""),"",F127+L127)</x:f>
        <x:v/>
      </x:c>
    </x:row>
    <x:row r="128" spans="1:13">
      <x:c r="A128" s="3">
        <x:f>'1_참가선수입력'!A128</x:f>
        <x:v>125</x:v>
      </x:c>
      <x:c r="B128" s="3">
        <x:f>'1_참가선수입력'!E128</x:f>
        <x:v>0</x:v>
      </x:c>
      <x:c r="C128" s="3">
        <x:f>'1_참가선수입력'!C128</x:f>
        <x:v>0</x:v>
      </x:c>
      <x:c r="D128" s="3">
        <x:f>'1_참가선수입력'!D128</x:f>
        <x:v>0</x:v>
      </x:c>
      <x:c r="E128" s="3">
        <x:f>'1_참가선수입력'!F128</x:f>
        <x:v>0</x:v>
      </x:c>
      <x:c r="F128" s="4"/>
      <x:c r="G128" s="4"/>
      <x:c r="H128" s="3" t="str">
        <x:f>IF(F128="","",F128+A128/10000)</x:f>
        <x:v/>
      </x:c>
      <x:c r="I128" s="3" t="str">
        <x:f>IF(F128="","",RANK(H128,$H$4:$H$213,1))</x:f>
        <x:v/>
      </x:c>
      <x:c r="J128" s="3" t="str">
        <x:f>IF(I128="","",IF(I128&lt;=104,"진출",""))</x:f>
        <x:v/>
      </x:c>
      <x:c r="K128" s="3" t="str">
        <x:f>IF(J128="진출",I128,"")</x:f>
        <x:v/>
      </x:c>
      <x:c r="L128" s="4"/>
      <x:c r="M128" s="3" t="str">
        <x:f>IF(OR(F128="",L128=""),"",F128+L128)</x:f>
        <x:v/>
      </x:c>
    </x:row>
    <x:row r="129" spans="1:13">
      <x:c r="A129" s="3">
        <x:f>'1_참가선수입력'!A129</x:f>
        <x:v>126</x:v>
      </x:c>
      <x:c r="B129" s="3">
        <x:f>'1_참가선수입력'!E129</x:f>
        <x:v>0</x:v>
      </x:c>
      <x:c r="C129" s="3">
        <x:f>'1_참가선수입력'!C129</x:f>
        <x:v>0</x:v>
      </x:c>
      <x:c r="D129" s="3">
        <x:f>'1_참가선수입력'!D129</x:f>
        <x:v>0</x:v>
      </x:c>
      <x:c r="E129" s="3">
        <x:f>'1_참가선수입력'!F129</x:f>
        <x:v>0</x:v>
      </x:c>
      <x:c r="F129" s="4"/>
      <x:c r="G129" s="4"/>
      <x:c r="H129" s="3" t="str">
        <x:f>IF(F129="","",F129+A129/10000)</x:f>
        <x:v/>
      </x:c>
      <x:c r="I129" s="3" t="str">
        <x:f>IF(F129="","",RANK(H129,$H$4:$H$213,1))</x:f>
        <x:v/>
      </x:c>
      <x:c r="J129" s="3" t="str">
        <x:f>IF(I129="","",IF(I129&lt;=104,"진출",""))</x:f>
        <x:v/>
      </x:c>
      <x:c r="K129" s="3" t="str">
        <x:f>IF(J129="진출",I129,"")</x:f>
        <x:v/>
      </x:c>
      <x:c r="L129" s="4"/>
      <x:c r="M129" s="3" t="str">
        <x:f>IF(OR(F129="",L129=""),"",F129+L129)</x:f>
        <x:v/>
      </x:c>
    </x:row>
    <x:row r="130" spans="1:13">
      <x:c r="A130" s="3">
        <x:f>'1_참가선수입력'!A130</x:f>
        <x:v>127</x:v>
      </x:c>
      <x:c r="B130" s="3">
        <x:f>'1_참가선수입력'!E130</x:f>
        <x:v>0</x:v>
      </x:c>
      <x:c r="C130" s="3">
        <x:f>'1_참가선수입력'!C130</x:f>
        <x:v>0</x:v>
      </x:c>
      <x:c r="D130" s="3">
        <x:f>'1_참가선수입력'!D130</x:f>
        <x:v>0</x:v>
      </x:c>
      <x:c r="E130" s="3">
        <x:f>'1_참가선수입력'!F130</x:f>
        <x:v>0</x:v>
      </x:c>
      <x:c r="F130" s="4"/>
      <x:c r="G130" s="4"/>
      <x:c r="H130" s="3" t="str">
        <x:f>IF(F130="","",F130+A130/10000)</x:f>
        <x:v/>
      </x:c>
      <x:c r="I130" s="3" t="str">
        <x:f>IF(F130="","",RANK(H130,$H$4:$H$213,1))</x:f>
        <x:v/>
      </x:c>
      <x:c r="J130" s="3" t="str">
        <x:f>IF(I130="","",IF(I130&lt;=104,"진출",""))</x:f>
        <x:v/>
      </x:c>
      <x:c r="K130" s="3" t="str">
        <x:f>IF(J130="진출",I130,"")</x:f>
        <x:v/>
      </x:c>
      <x:c r="L130" s="4"/>
      <x:c r="M130" s="3" t="str">
        <x:f>IF(OR(F130="",L130=""),"",F130+L130)</x:f>
        <x:v/>
      </x:c>
    </x:row>
    <x:row r="131" spans="1:13">
      <x:c r="A131" s="3">
        <x:f>'1_참가선수입력'!A131</x:f>
        <x:v>128</x:v>
      </x:c>
      <x:c r="B131" s="3">
        <x:f>'1_참가선수입력'!E131</x:f>
        <x:v>0</x:v>
      </x:c>
      <x:c r="C131" s="3">
        <x:f>'1_참가선수입력'!C131</x:f>
        <x:v>0</x:v>
      </x:c>
      <x:c r="D131" s="3">
        <x:f>'1_참가선수입력'!D131</x:f>
        <x:v>0</x:v>
      </x:c>
      <x:c r="E131" s="3">
        <x:f>'1_참가선수입력'!F131</x:f>
        <x:v>0</x:v>
      </x:c>
      <x:c r="F131" s="4"/>
      <x:c r="G131" s="4"/>
      <x:c r="H131" s="3" t="str">
        <x:f>IF(F131="","",F131+A131/10000)</x:f>
        <x:v/>
      </x:c>
      <x:c r="I131" s="3" t="str">
        <x:f>IF(F131="","",RANK(H131,$H$4:$H$213,1))</x:f>
        <x:v/>
      </x:c>
      <x:c r="J131" s="3" t="str">
        <x:f>IF(I131="","",IF(I131&lt;=104,"진출",""))</x:f>
        <x:v/>
      </x:c>
      <x:c r="K131" s="3" t="str">
        <x:f>IF(J131="진출",I131,"")</x:f>
        <x:v/>
      </x:c>
      <x:c r="L131" s="4"/>
      <x:c r="M131" s="3" t="str">
        <x:f>IF(OR(F131="",L131=""),"",F131+L131)</x:f>
        <x:v/>
      </x:c>
    </x:row>
    <x:row r="132" spans="1:13">
      <x:c r="A132" s="3">
        <x:f>'1_참가선수입력'!A132</x:f>
        <x:v>129</x:v>
      </x:c>
      <x:c r="B132" s="3">
        <x:f>'1_참가선수입력'!E132</x:f>
        <x:v>0</x:v>
      </x:c>
      <x:c r="C132" s="3">
        <x:f>'1_참가선수입력'!C132</x:f>
        <x:v>0</x:v>
      </x:c>
      <x:c r="D132" s="3">
        <x:f>'1_참가선수입력'!D132</x:f>
        <x:v>0</x:v>
      </x:c>
      <x:c r="E132" s="3">
        <x:f>'1_참가선수입력'!F132</x:f>
        <x:v>0</x:v>
      </x:c>
      <x:c r="F132" s="4"/>
      <x:c r="G132" s="4"/>
      <x:c r="H132" s="3" t="str">
        <x:f>IF(F132="","",F132+A132/10000)</x:f>
        <x:v/>
      </x:c>
      <x:c r="I132" s="3" t="str">
        <x:f>IF(F132="","",RANK(H132,$H$4:$H$213,1))</x:f>
        <x:v/>
      </x:c>
      <x:c r="J132" s="3" t="str">
        <x:f>IF(I132="","",IF(I132&lt;=104,"진출",""))</x:f>
        <x:v/>
      </x:c>
      <x:c r="K132" s="3" t="str">
        <x:f>IF(J132="진출",I132,"")</x:f>
        <x:v/>
      </x:c>
      <x:c r="L132" s="4"/>
      <x:c r="M132" s="3" t="str">
        <x:f>IF(OR(F132="",L132=""),"",F132+L132)</x:f>
        <x:v/>
      </x:c>
    </x:row>
    <x:row r="133" spans="1:13">
      <x:c r="A133" s="3">
        <x:f>'1_참가선수입력'!A133</x:f>
        <x:v>130</x:v>
      </x:c>
      <x:c r="B133" s="3">
        <x:f>'1_참가선수입력'!E133</x:f>
        <x:v>0</x:v>
      </x:c>
      <x:c r="C133" s="3">
        <x:f>'1_참가선수입력'!C133</x:f>
        <x:v>0</x:v>
      </x:c>
      <x:c r="D133" s="3">
        <x:f>'1_참가선수입력'!D133</x:f>
        <x:v>0</x:v>
      </x:c>
      <x:c r="E133" s="3">
        <x:f>'1_참가선수입력'!F133</x:f>
        <x:v>0</x:v>
      </x:c>
      <x:c r="F133" s="4"/>
      <x:c r="G133" s="4"/>
      <x:c r="H133" s="3" t="str">
        <x:f>IF(F133="","",F133+A133/10000)</x:f>
        <x:v/>
      </x:c>
      <x:c r="I133" s="3" t="str">
        <x:f>IF(F133="","",RANK(H133,$H$4:$H$213,1))</x:f>
        <x:v/>
      </x:c>
      <x:c r="J133" s="3" t="str">
        <x:f>IF(I133="","",IF(I133&lt;=104,"진출",""))</x:f>
        <x:v/>
      </x:c>
      <x:c r="K133" s="3" t="str">
        <x:f>IF(J133="진출",I133,"")</x:f>
        <x:v/>
      </x:c>
      <x:c r="L133" s="4"/>
      <x:c r="M133" s="3" t="str">
        <x:f>IF(OR(F133="",L133=""),"",F133+L133)</x:f>
        <x:v/>
      </x:c>
    </x:row>
    <x:row r="134" spans="1:13">
      <x:c r="A134" s="3">
        <x:f>'1_참가선수입력'!A134</x:f>
        <x:v>131</x:v>
      </x:c>
      <x:c r="B134" s="3">
        <x:f>'1_참가선수입력'!E134</x:f>
        <x:v>0</x:v>
      </x:c>
      <x:c r="C134" s="3">
        <x:f>'1_참가선수입력'!C134</x:f>
        <x:v>0</x:v>
      </x:c>
      <x:c r="D134" s="3">
        <x:f>'1_참가선수입력'!D134</x:f>
        <x:v>0</x:v>
      </x:c>
      <x:c r="E134" s="3">
        <x:f>'1_참가선수입력'!F134</x:f>
        <x:v>0</x:v>
      </x:c>
      <x:c r="F134" s="4"/>
      <x:c r="G134" s="4"/>
      <x:c r="H134" s="3" t="str">
        <x:f>IF(F134="","",F134+A134/10000)</x:f>
        <x:v/>
      </x:c>
      <x:c r="I134" s="3" t="str">
        <x:f>IF(F134="","",RANK(H134,$H$4:$H$213,1))</x:f>
        <x:v/>
      </x:c>
      <x:c r="J134" s="3" t="str">
        <x:f>IF(I134="","",IF(I134&lt;=104,"진출",""))</x:f>
        <x:v/>
      </x:c>
      <x:c r="K134" s="3" t="str">
        <x:f>IF(J134="진출",I134,"")</x:f>
        <x:v/>
      </x:c>
      <x:c r="L134" s="4"/>
      <x:c r="M134" s="3" t="str">
        <x:f>IF(OR(F134="",L134=""),"",F134+L134)</x:f>
        <x:v/>
      </x:c>
    </x:row>
    <x:row r="135" spans="1:13">
      <x:c r="A135" s="3">
        <x:f>'1_참가선수입력'!A135</x:f>
        <x:v>132</x:v>
      </x:c>
      <x:c r="B135" s="3">
        <x:f>'1_참가선수입력'!E135</x:f>
        <x:v>0</x:v>
      </x:c>
      <x:c r="C135" s="3">
        <x:f>'1_참가선수입력'!C135</x:f>
        <x:v>0</x:v>
      </x:c>
      <x:c r="D135" s="3">
        <x:f>'1_참가선수입력'!D135</x:f>
        <x:v>0</x:v>
      </x:c>
      <x:c r="E135" s="3">
        <x:f>'1_참가선수입력'!F135</x:f>
        <x:v>0</x:v>
      </x:c>
      <x:c r="F135" s="4"/>
      <x:c r="G135" s="4"/>
      <x:c r="H135" s="3" t="str">
        <x:f>IF(F135="","",F135+A135/10000)</x:f>
        <x:v/>
      </x:c>
      <x:c r="I135" s="3" t="str">
        <x:f>IF(F135="","",RANK(H135,$H$4:$H$213,1))</x:f>
        <x:v/>
      </x:c>
      <x:c r="J135" s="3" t="str">
        <x:f>IF(I135="","",IF(I135&lt;=104,"진출",""))</x:f>
        <x:v/>
      </x:c>
      <x:c r="K135" s="3" t="str">
        <x:f>IF(J135="진출",I135,"")</x:f>
        <x:v/>
      </x:c>
      <x:c r="L135" s="4"/>
      <x:c r="M135" s="3" t="str">
        <x:f>IF(OR(F135="",L135=""),"",F135+L135)</x:f>
        <x:v/>
      </x:c>
    </x:row>
    <x:row r="136" spans="1:13">
      <x:c r="A136" s="3">
        <x:f>'1_참가선수입력'!A136</x:f>
        <x:v>133</x:v>
      </x:c>
      <x:c r="B136" s="3">
        <x:f>'1_참가선수입력'!E136</x:f>
        <x:v>0</x:v>
      </x:c>
      <x:c r="C136" s="3">
        <x:f>'1_참가선수입력'!C136</x:f>
        <x:v>0</x:v>
      </x:c>
      <x:c r="D136" s="3">
        <x:f>'1_참가선수입력'!D136</x:f>
        <x:v>0</x:v>
      </x:c>
      <x:c r="E136" s="3">
        <x:f>'1_참가선수입력'!F136</x:f>
        <x:v>0</x:v>
      </x:c>
      <x:c r="F136" s="4"/>
      <x:c r="G136" s="4"/>
      <x:c r="H136" s="3" t="str">
        <x:f>IF(F136="","",F136+A136/10000)</x:f>
        <x:v/>
      </x:c>
      <x:c r="I136" s="3" t="str">
        <x:f>IF(F136="","",RANK(H136,$H$4:$H$213,1))</x:f>
        <x:v/>
      </x:c>
      <x:c r="J136" s="3" t="str">
        <x:f>IF(I136="","",IF(I136&lt;=104,"진출",""))</x:f>
        <x:v/>
      </x:c>
      <x:c r="K136" s="3" t="str">
        <x:f>IF(J136="진출",I136,"")</x:f>
        <x:v/>
      </x:c>
      <x:c r="L136" s="4"/>
      <x:c r="M136" s="3" t="str">
        <x:f>IF(OR(F136="",L136=""),"",F136+L136)</x:f>
        <x:v/>
      </x:c>
    </x:row>
    <x:row r="137" spans="1:13">
      <x:c r="A137" s="3">
        <x:f>'1_참가선수입력'!A137</x:f>
        <x:v>134</x:v>
      </x:c>
      <x:c r="B137" s="3">
        <x:f>'1_참가선수입력'!E137</x:f>
        <x:v>0</x:v>
      </x:c>
      <x:c r="C137" s="3">
        <x:f>'1_참가선수입력'!C137</x:f>
        <x:v>0</x:v>
      </x:c>
      <x:c r="D137" s="3">
        <x:f>'1_참가선수입력'!D137</x:f>
        <x:v>0</x:v>
      </x:c>
      <x:c r="E137" s="3">
        <x:f>'1_참가선수입력'!F137</x:f>
        <x:v>0</x:v>
      </x:c>
      <x:c r="F137" s="4"/>
      <x:c r="G137" s="4"/>
      <x:c r="H137" s="3" t="str">
        <x:f>IF(F137="","",F137+A137/10000)</x:f>
        <x:v/>
      </x:c>
      <x:c r="I137" s="3" t="str">
        <x:f>IF(F137="","",RANK(H137,$H$4:$H$213,1))</x:f>
        <x:v/>
      </x:c>
      <x:c r="J137" s="3" t="str">
        <x:f>IF(I137="","",IF(I137&lt;=104,"진출",""))</x:f>
        <x:v/>
      </x:c>
      <x:c r="K137" s="3" t="str">
        <x:f>IF(J137="진출",I137,"")</x:f>
        <x:v/>
      </x:c>
      <x:c r="L137" s="4"/>
      <x:c r="M137" s="3" t="str">
        <x:f>IF(OR(F137="",L137=""),"",F137+L137)</x:f>
        <x:v/>
      </x:c>
    </x:row>
    <x:row r="138" spans="1:13">
      <x:c r="A138" s="3">
        <x:f>'1_참가선수입력'!A138</x:f>
        <x:v>135</x:v>
      </x:c>
      <x:c r="B138" s="3">
        <x:f>'1_참가선수입력'!E138</x:f>
        <x:v>0</x:v>
      </x:c>
      <x:c r="C138" s="3">
        <x:f>'1_참가선수입력'!C138</x:f>
        <x:v>0</x:v>
      </x:c>
      <x:c r="D138" s="3">
        <x:f>'1_참가선수입력'!D138</x:f>
        <x:v>0</x:v>
      </x:c>
      <x:c r="E138" s="3">
        <x:f>'1_참가선수입력'!F138</x:f>
        <x:v>0</x:v>
      </x:c>
      <x:c r="F138" s="4"/>
      <x:c r="G138" s="4"/>
      <x:c r="H138" s="3" t="str">
        <x:f>IF(F138="","",F138+A138/10000)</x:f>
        <x:v/>
      </x:c>
      <x:c r="I138" s="3" t="str">
        <x:f>IF(F138="","",RANK(H138,$H$4:$H$213,1))</x:f>
        <x:v/>
      </x:c>
      <x:c r="J138" s="3" t="str">
        <x:f>IF(I138="","",IF(I138&lt;=104,"진출",""))</x:f>
        <x:v/>
      </x:c>
      <x:c r="K138" s="3" t="str">
        <x:f>IF(J138="진출",I138,"")</x:f>
        <x:v/>
      </x:c>
      <x:c r="L138" s="4"/>
      <x:c r="M138" s="3" t="str">
        <x:f>IF(OR(F138="",L138=""),"",F138+L138)</x:f>
        <x:v/>
      </x:c>
    </x:row>
    <x:row r="139" spans="1:13">
      <x:c r="A139" s="3">
        <x:f>'1_참가선수입력'!A139</x:f>
        <x:v>136</x:v>
      </x:c>
      <x:c r="B139" s="3">
        <x:f>'1_참가선수입력'!E139</x:f>
        <x:v>0</x:v>
      </x:c>
      <x:c r="C139" s="3">
        <x:f>'1_참가선수입력'!C139</x:f>
        <x:v>0</x:v>
      </x:c>
      <x:c r="D139" s="3">
        <x:f>'1_참가선수입력'!D139</x:f>
        <x:v>0</x:v>
      </x:c>
      <x:c r="E139" s="3">
        <x:f>'1_참가선수입력'!F139</x:f>
        <x:v>0</x:v>
      </x:c>
      <x:c r="F139" s="4"/>
      <x:c r="G139" s="4"/>
      <x:c r="H139" s="3" t="str">
        <x:f>IF(F139="","",F139+A139/10000)</x:f>
        <x:v/>
      </x:c>
      <x:c r="I139" s="3" t="str">
        <x:f>IF(F139="","",RANK(H139,$H$4:$H$213,1))</x:f>
        <x:v/>
      </x:c>
      <x:c r="J139" s="3" t="str">
        <x:f>IF(I139="","",IF(I139&lt;=104,"진출",""))</x:f>
        <x:v/>
      </x:c>
      <x:c r="K139" s="3" t="str">
        <x:f>IF(J139="진출",I139,"")</x:f>
        <x:v/>
      </x:c>
      <x:c r="L139" s="4"/>
      <x:c r="M139" s="3" t="str">
        <x:f>IF(OR(F139="",L139=""),"",F139+L139)</x:f>
        <x:v/>
      </x:c>
    </x:row>
    <x:row r="140" spans="1:13">
      <x:c r="A140" s="3">
        <x:f>'1_참가선수입력'!A140</x:f>
        <x:v>137</x:v>
      </x:c>
      <x:c r="B140" s="3">
        <x:f>'1_참가선수입력'!E140</x:f>
        <x:v>0</x:v>
      </x:c>
      <x:c r="C140" s="3">
        <x:f>'1_참가선수입력'!C140</x:f>
        <x:v>0</x:v>
      </x:c>
      <x:c r="D140" s="3">
        <x:f>'1_참가선수입력'!D140</x:f>
        <x:v>0</x:v>
      </x:c>
      <x:c r="E140" s="3">
        <x:f>'1_참가선수입력'!F140</x:f>
        <x:v>0</x:v>
      </x:c>
      <x:c r="F140" s="4"/>
      <x:c r="G140" s="4"/>
      <x:c r="H140" s="3" t="str">
        <x:f>IF(F140="","",F140+A140/10000)</x:f>
        <x:v/>
      </x:c>
      <x:c r="I140" s="3" t="str">
        <x:f>IF(F140="","",RANK(H140,$H$4:$H$213,1))</x:f>
        <x:v/>
      </x:c>
      <x:c r="J140" s="3" t="str">
        <x:f>IF(I140="","",IF(I140&lt;=104,"진출",""))</x:f>
        <x:v/>
      </x:c>
      <x:c r="K140" s="3" t="str">
        <x:f>IF(J140="진출",I140,"")</x:f>
        <x:v/>
      </x:c>
      <x:c r="L140" s="4"/>
      <x:c r="M140" s="3" t="str">
        <x:f>IF(OR(F140="",L140=""),"",F140+L140)</x:f>
        <x:v/>
      </x:c>
    </x:row>
    <x:row r="141" spans="1:13">
      <x:c r="A141" s="3">
        <x:f>'1_참가선수입력'!A141</x:f>
        <x:v>138</x:v>
      </x:c>
      <x:c r="B141" s="3">
        <x:f>'1_참가선수입력'!E141</x:f>
        <x:v>0</x:v>
      </x:c>
      <x:c r="C141" s="3">
        <x:f>'1_참가선수입력'!C141</x:f>
        <x:v>0</x:v>
      </x:c>
      <x:c r="D141" s="3">
        <x:f>'1_참가선수입력'!D141</x:f>
        <x:v>0</x:v>
      </x:c>
      <x:c r="E141" s="3">
        <x:f>'1_참가선수입력'!F141</x:f>
        <x:v>0</x:v>
      </x:c>
      <x:c r="F141" s="4"/>
      <x:c r="G141" s="4"/>
      <x:c r="H141" s="3" t="str">
        <x:f>IF(F141="","",F141+A141/10000)</x:f>
        <x:v/>
      </x:c>
      <x:c r="I141" s="3" t="str">
        <x:f>IF(F141="","",RANK(H141,$H$4:$H$213,1))</x:f>
        <x:v/>
      </x:c>
      <x:c r="J141" s="3" t="str">
        <x:f>IF(I141="","",IF(I141&lt;=104,"진출",""))</x:f>
        <x:v/>
      </x:c>
      <x:c r="K141" s="3" t="str">
        <x:f>IF(J141="진출",I141,"")</x:f>
        <x:v/>
      </x:c>
      <x:c r="L141" s="4"/>
      <x:c r="M141" s="3" t="str">
        <x:f>IF(OR(F141="",L141=""),"",F141+L141)</x:f>
        <x:v/>
      </x:c>
    </x:row>
    <x:row r="142" spans="1:13">
      <x:c r="A142" s="3">
        <x:f>'1_참가선수입력'!A142</x:f>
        <x:v>139</x:v>
      </x:c>
      <x:c r="B142" s="3">
        <x:f>'1_참가선수입력'!E142</x:f>
        <x:v>0</x:v>
      </x:c>
      <x:c r="C142" s="3">
        <x:f>'1_참가선수입력'!C142</x:f>
        <x:v>0</x:v>
      </x:c>
      <x:c r="D142" s="3">
        <x:f>'1_참가선수입력'!D142</x:f>
        <x:v>0</x:v>
      </x:c>
      <x:c r="E142" s="3">
        <x:f>'1_참가선수입력'!F142</x:f>
        <x:v>0</x:v>
      </x:c>
      <x:c r="F142" s="4"/>
      <x:c r="G142" s="4"/>
      <x:c r="H142" s="3" t="str">
        <x:f>IF(F142="","",F142+A142/10000)</x:f>
        <x:v/>
      </x:c>
      <x:c r="I142" s="3" t="str">
        <x:f>IF(F142="","",RANK(H142,$H$4:$H$213,1))</x:f>
        <x:v/>
      </x:c>
      <x:c r="J142" s="3" t="str">
        <x:f>IF(I142="","",IF(I142&lt;=104,"진출",""))</x:f>
        <x:v/>
      </x:c>
      <x:c r="K142" s="3" t="str">
        <x:f>IF(J142="진출",I142,"")</x:f>
        <x:v/>
      </x:c>
      <x:c r="L142" s="4"/>
      <x:c r="M142" s="3" t="str">
        <x:f>IF(OR(F142="",L142=""),"",F142+L142)</x:f>
        <x:v/>
      </x:c>
    </x:row>
    <x:row r="143" spans="1:13">
      <x:c r="A143" s="3">
        <x:f>'1_참가선수입력'!A143</x:f>
        <x:v>140</x:v>
      </x:c>
      <x:c r="B143" s="3">
        <x:f>'1_참가선수입력'!E143</x:f>
        <x:v>0</x:v>
      </x:c>
      <x:c r="C143" s="3">
        <x:f>'1_참가선수입력'!C143</x:f>
        <x:v>0</x:v>
      </x:c>
      <x:c r="D143" s="3">
        <x:f>'1_참가선수입력'!D143</x:f>
        <x:v>0</x:v>
      </x:c>
      <x:c r="E143" s="3">
        <x:f>'1_참가선수입력'!F143</x:f>
        <x:v>0</x:v>
      </x:c>
      <x:c r="F143" s="4"/>
      <x:c r="G143" s="4"/>
      <x:c r="H143" s="3" t="str">
        <x:f>IF(F143="","",F143+A143/10000)</x:f>
        <x:v/>
      </x:c>
      <x:c r="I143" s="3" t="str">
        <x:f>IF(F143="","",RANK(H143,$H$4:$H$213,1))</x:f>
        <x:v/>
      </x:c>
      <x:c r="J143" s="3" t="str">
        <x:f>IF(I143="","",IF(I143&lt;=104,"진출",""))</x:f>
        <x:v/>
      </x:c>
      <x:c r="K143" s="3" t="str">
        <x:f>IF(J143="진출",I143,"")</x:f>
        <x:v/>
      </x:c>
      <x:c r="L143" s="4"/>
      <x:c r="M143" s="3" t="str">
        <x:f>IF(OR(F143="",L143=""),"",F143+L143)</x:f>
        <x:v/>
      </x:c>
    </x:row>
    <x:row r="144" spans="1:13">
      <x:c r="A144" s="3">
        <x:f>'1_참가선수입력'!A144</x:f>
        <x:v>141</x:v>
      </x:c>
      <x:c r="B144" s="3">
        <x:f>'1_참가선수입력'!E144</x:f>
        <x:v>0</x:v>
      </x:c>
      <x:c r="C144" s="3">
        <x:f>'1_참가선수입력'!C144</x:f>
        <x:v>0</x:v>
      </x:c>
      <x:c r="D144" s="3">
        <x:f>'1_참가선수입력'!D144</x:f>
        <x:v>0</x:v>
      </x:c>
      <x:c r="E144" s="3">
        <x:f>'1_참가선수입력'!F144</x:f>
        <x:v>0</x:v>
      </x:c>
      <x:c r="F144" s="4"/>
      <x:c r="G144" s="4"/>
      <x:c r="H144" s="3" t="str">
        <x:f>IF(F144="","",F144+A144/10000)</x:f>
        <x:v/>
      </x:c>
      <x:c r="I144" s="3" t="str">
        <x:f>IF(F144="","",RANK(H144,$H$4:$H$213,1))</x:f>
        <x:v/>
      </x:c>
      <x:c r="J144" s="3" t="str">
        <x:f>IF(I144="","",IF(I144&lt;=104,"진출",""))</x:f>
        <x:v/>
      </x:c>
      <x:c r="K144" s="3" t="str">
        <x:f>IF(J144="진출",I144,"")</x:f>
        <x:v/>
      </x:c>
      <x:c r="L144" s="4"/>
      <x:c r="M144" s="3" t="str">
        <x:f>IF(OR(F144="",L144=""),"",F144+L144)</x:f>
        <x:v/>
      </x:c>
    </x:row>
    <x:row r="145" spans="1:13">
      <x:c r="A145" s="3">
        <x:f>'1_참가선수입력'!A145</x:f>
        <x:v>142</x:v>
      </x:c>
      <x:c r="B145" s="3">
        <x:f>'1_참가선수입력'!E145</x:f>
        <x:v>0</x:v>
      </x:c>
      <x:c r="C145" s="3">
        <x:f>'1_참가선수입력'!C145</x:f>
        <x:v>0</x:v>
      </x:c>
      <x:c r="D145" s="3">
        <x:f>'1_참가선수입력'!D145</x:f>
        <x:v>0</x:v>
      </x:c>
      <x:c r="E145" s="3">
        <x:f>'1_참가선수입력'!F145</x:f>
        <x:v>0</x:v>
      </x:c>
      <x:c r="F145" s="4"/>
      <x:c r="G145" s="4"/>
      <x:c r="H145" s="3" t="str">
        <x:f>IF(F145="","",F145+A145/10000)</x:f>
        <x:v/>
      </x:c>
      <x:c r="I145" s="3" t="str">
        <x:f>IF(F145="","",RANK(H145,$H$4:$H$213,1))</x:f>
        <x:v/>
      </x:c>
      <x:c r="J145" s="3" t="str">
        <x:f>IF(I145="","",IF(I145&lt;=104,"진출",""))</x:f>
        <x:v/>
      </x:c>
      <x:c r="K145" s="3" t="str">
        <x:f>IF(J145="진출",I145,"")</x:f>
        <x:v/>
      </x:c>
      <x:c r="L145" s="4"/>
      <x:c r="M145" s="3" t="str">
        <x:f>IF(OR(F145="",L145=""),"",F145+L145)</x:f>
        <x:v/>
      </x:c>
    </x:row>
    <x:row r="146" spans="1:13">
      <x:c r="A146" s="3">
        <x:f>'1_참가선수입력'!A146</x:f>
        <x:v>143</x:v>
      </x:c>
      <x:c r="B146" s="3">
        <x:f>'1_참가선수입력'!E146</x:f>
        <x:v>0</x:v>
      </x:c>
      <x:c r="C146" s="3">
        <x:f>'1_참가선수입력'!C146</x:f>
        <x:v>0</x:v>
      </x:c>
      <x:c r="D146" s="3">
        <x:f>'1_참가선수입력'!D146</x:f>
        <x:v>0</x:v>
      </x:c>
      <x:c r="E146" s="3">
        <x:f>'1_참가선수입력'!F146</x:f>
        <x:v>0</x:v>
      </x:c>
      <x:c r="F146" s="4"/>
      <x:c r="G146" s="4"/>
      <x:c r="H146" s="3" t="str">
        <x:f>IF(F146="","",F146+A146/10000)</x:f>
        <x:v/>
      </x:c>
      <x:c r="I146" s="3" t="str">
        <x:f>IF(F146="","",RANK(H146,$H$4:$H$213,1))</x:f>
        <x:v/>
      </x:c>
      <x:c r="J146" s="3" t="str">
        <x:f>IF(I146="","",IF(I146&lt;=104,"진출",""))</x:f>
        <x:v/>
      </x:c>
      <x:c r="K146" s="3" t="str">
        <x:f>IF(J146="진출",I146,"")</x:f>
        <x:v/>
      </x:c>
      <x:c r="L146" s="4"/>
      <x:c r="M146" s="3" t="str">
        <x:f>IF(OR(F146="",L146=""),"",F146+L146)</x:f>
        <x:v/>
      </x:c>
    </x:row>
    <x:row r="147" spans="1:13">
      <x:c r="A147" s="3">
        <x:f>'1_참가선수입력'!A147</x:f>
        <x:v>144</x:v>
      </x:c>
      <x:c r="B147" s="3">
        <x:f>'1_참가선수입력'!E147</x:f>
        <x:v>0</x:v>
      </x:c>
      <x:c r="C147" s="3">
        <x:f>'1_참가선수입력'!C147</x:f>
        <x:v>0</x:v>
      </x:c>
      <x:c r="D147" s="3">
        <x:f>'1_참가선수입력'!D147</x:f>
        <x:v>0</x:v>
      </x:c>
      <x:c r="E147" s="3">
        <x:f>'1_참가선수입력'!F147</x:f>
        <x:v>0</x:v>
      </x:c>
      <x:c r="F147" s="4"/>
      <x:c r="G147" s="4"/>
      <x:c r="H147" s="3" t="str">
        <x:f>IF(F147="","",F147+A147/10000)</x:f>
        <x:v/>
      </x:c>
      <x:c r="I147" s="3" t="str">
        <x:f>IF(F147="","",RANK(H147,$H$4:$H$213,1))</x:f>
        <x:v/>
      </x:c>
      <x:c r="J147" s="3" t="str">
        <x:f>IF(I147="","",IF(I147&lt;=104,"진출",""))</x:f>
        <x:v/>
      </x:c>
      <x:c r="K147" s="3" t="str">
        <x:f>IF(J147="진출",I147,"")</x:f>
        <x:v/>
      </x:c>
      <x:c r="L147" s="4"/>
      <x:c r="M147" s="3" t="str">
        <x:f>IF(OR(F147="",L147=""),"",F147+L147)</x:f>
        <x:v/>
      </x:c>
    </x:row>
    <x:row r="148" spans="1:13">
      <x:c r="A148" s="3">
        <x:f>'1_참가선수입력'!A148</x:f>
        <x:v>145</x:v>
      </x:c>
      <x:c r="B148" s="3">
        <x:f>'1_참가선수입력'!E148</x:f>
        <x:v>0</x:v>
      </x:c>
      <x:c r="C148" s="3">
        <x:f>'1_참가선수입력'!C148</x:f>
        <x:v>0</x:v>
      </x:c>
      <x:c r="D148" s="3">
        <x:f>'1_참가선수입력'!D148</x:f>
        <x:v>0</x:v>
      </x:c>
      <x:c r="E148" s="3">
        <x:f>'1_참가선수입력'!F148</x:f>
        <x:v>0</x:v>
      </x:c>
      <x:c r="F148" s="4"/>
      <x:c r="G148" s="4"/>
      <x:c r="H148" s="3" t="str">
        <x:f>IF(F148="","",F148+A148/10000)</x:f>
        <x:v/>
      </x:c>
      <x:c r="I148" s="3" t="str">
        <x:f>IF(F148="","",RANK(H148,$H$4:$H$213,1))</x:f>
        <x:v/>
      </x:c>
      <x:c r="J148" s="3" t="str">
        <x:f>IF(I148="","",IF(I148&lt;=104,"진출",""))</x:f>
        <x:v/>
      </x:c>
      <x:c r="K148" s="3" t="str">
        <x:f>IF(J148="진출",I148,"")</x:f>
        <x:v/>
      </x:c>
      <x:c r="L148" s="4"/>
      <x:c r="M148" s="3" t="str">
        <x:f>IF(OR(F148="",L148=""),"",F148+L148)</x:f>
        <x:v/>
      </x:c>
    </x:row>
    <x:row r="149" spans="1:13">
      <x:c r="A149" s="3">
        <x:f>'1_참가선수입력'!A149</x:f>
        <x:v>146</x:v>
      </x:c>
      <x:c r="B149" s="3">
        <x:f>'1_참가선수입력'!E149</x:f>
        <x:v>0</x:v>
      </x:c>
      <x:c r="C149" s="3">
        <x:f>'1_참가선수입력'!C149</x:f>
        <x:v>0</x:v>
      </x:c>
      <x:c r="D149" s="3">
        <x:f>'1_참가선수입력'!D149</x:f>
        <x:v>0</x:v>
      </x:c>
      <x:c r="E149" s="3">
        <x:f>'1_참가선수입력'!F149</x:f>
        <x:v>0</x:v>
      </x:c>
      <x:c r="F149" s="4"/>
      <x:c r="G149" s="4"/>
      <x:c r="H149" s="3" t="str">
        <x:f>IF(F149="","",F149+A149/10000)</x:f>
        <x:v/>
      </x:c>
      <x:c r="I149" s="3" t="str">
        <x:f>IF(F149="","",RANK(H149,$H$4:$H$213,1))</x:f>
        <x:v/>
      </x:c>
      <x:c r="J149" s="3" t="str">
        <x:f>IF(I149="","",IF(I149&lt;=104,"진출",""))</x:f>
        <x:v/>
      </x:c>
      <x:c r="K149" s="3" t="str">
        <x:f>IF(J149="진출",I149,"")</x:f>
        <x:v/>
      </x:c>
      <x:c r="L149" s="4"/>
      <x:c r="M149" s="3" t="str">
        <x:f>IF(OR(F149="",L149=""),"",F149+L149)</x:f>
        <x:v/>
      </x:c>
    </x:row>
    <x:row r="150" spans="1:13">
      <x:c r="A150" s="3">
        <x:f>'1_참가선수입력'!A150</x:f>
        <x:v>147</x:v>
      </x:c>
      <x:c r="B150" s="3">
        <x:f>'1_참가선수입력'!E150</x:f>
        <x:v>0</x:v>
      </x:c>
      <x:c r="C150" s="3">
        <x:f>'1_참가선수입력'!C150</x:f>
        <x:v>0</x:v>
      </x:c>
      <x:c r="D150" s="3">
        <x:f>'1_참가선수입력'!D150</x:f>
        <x:v>0</x:v>
      </x:c>
      <x:c r="E150" s="3">
        <x:f>'1_참가선수입력'!F150</x:f>
        <x:v>0</x:v>
      </x:c>
      <x:c r="F150" s="4"/>
      <x:c r="G150" s="4"/>
      <x:c r="H150" s="3" t="str">
        <x:f>IF(F150="","",F150+A150/10000)</x:f>
        <x:v/>
      </x:c>
      <x:c r="I150" s="3" t="str">
        <x:f>IF(F150="","",RANK(H150,$H$4:$H$213,1))</x:f>
        <x:v/>
      </x:c>
      <x:c r="J150" s="3" t="str">
        <x:f>IF(I150="","",IF(I150&lt;=104,"진출",""))</x:f>
        <x:v/>
      </x:c>
      <x:c r="K150" s="3" t="str">
        <x:f>IF(J150="진출",I150,"")</x:f>
        <x:v/>
      </x:c>
      <x:c r="L150" s="4"/>
      <x:c r="M150" s="3" t="str">
        <x:f>IF(OR(F150="",L150=""),"",F150+L150)</x:f>
        <x:v/>
      </x:c>
    </x:row>
    <x:row r="151" spans="1:13">
      <x:c r="A151" s="3">
        <x:f>'1_참가선수입력'!A151</x:f>
        <x:v>148</x:v>
      </x:c>
      <x:c r="B151" s="3">
        <x:f>'1_참가선수입력'!E151</x:f>
        <x:v>0</x:v>
      </x:c>
      <x:c r="C151" s="3">
        <x:f>'1_참가선수입력'!C151</x:f>
        <x:v>0</x:v>
      </x:c>
      <x:c r="D151" s="3">
        <x:f>'1_참가선수입력'!D151</x:f>
        <x:v>0</x:v>
      </x:c>
      <x:c r="E151" s="3">
        <x:f>'1_참가선수입력'!F151</x:f>
        <x:v>0</x:v>
      </x:c>
      <x:c r="F151" s="4"/>
      <x:c r="G151" s="4"/>
      <x:c r="H151" s="3" t="str">
        <x:f>IF(F151="","",F151+A151/10000)</x:f>
        <x:v/>
      </x:c>
      <x:c r="I151" s="3" t="str">
        <x:f>IF(F151="","",RANK(H151,$H$4:$H$213,1))</x:f>
        <x:v/>
      </x:c>
      <x:c r="J151" s="3" t="str">
        <x:f>IF(I151="","",IF(I151&lt;=104,"진출",""))</x:f>
        <x:v/>
      </x:c>
      <x:c r="K151" s="3" t="str">
        <x:f>IF(J151="진출",I151,"")</x:f>
        <x:v/>
      </x:c>
      <x:c r="L151" s="4"/>
      <x:c r="M151" s="3" t="str">
        <x:f>IF(OR(F151="",L151=""),"",F151+L151)</x:f>
        <x:v/>
      </x:c>
    </x:row>
    <x:row r="152" spans="1:13">
      <x:c r="A152" s="3">
        <x:f>'1_참가선수입력'!A152</x:f>
        <x:v>149</x:v>
      </x:c>
      <x:c r="B152" s="3">
        <x:f>'1_참가선수입력'!E152</x:f>
        <x:v>0</x:v>
      </x:c>
      <x:c r="C152" s="3">
        <x:f>'1_참가선수입력'!C152</x:f>
        <x:v>0</x:v>
      </x:c>
      <x:c r="D152" s="3">
        <x:f>'1_참가선수입력'!D152</x:f>
        <x:v>0</x:v>
      </x:c>
      <x:c r="E152" s="3">
        <x:f>'1_참가선수입력'!F152</x:f>
        <x:v>0</x:v>
      </x:c>
      <x:c r="F152" s="4"/>
      <x:c r="G152" s="4"/>
      <x:c r="H152" s="3" t="str">
        <x:f>IF(F152="","",F152+A152/10000)</x:f>
        <x:v/>
      </x:c>
      <x:c r="I152" s="3" t="str">
        <x:f>IF(F152="","",RANK(H152,$H$4:$H$213,1))</x:f>
        <x:v/>
      </x:c>
      <x:c r="J152" s="3" t="str">
        <x:f>IF(I152="","",IF(I152&lt;=104,"진출",""))</x:f>
        <x:v/>
      </x:c>
      <x:c r="K152" s="3" t="str">
        <x:f>IF(J152="진출",I152,"")</x:f>
        <x:v/>
      </x:c>
      <x:c r="L152" s="4"/>
      <x:c r="M152" s="3" t="str">
        <x:f>IF(OR(F152="",L152=""),"",F152+L152)</x:f>
        <x:v/>
      </x:c>
    </x:row>
    <x:row r="153" spans="1:13">
      <x:c r="A153" s="3">
        <x:f>'1_참가선수입력'!A153</x:f>
        <x:v>150</x:v>
      </x:c>
      <x:c r="B153" s="3">
        <x:f>'1_참가선수입력'!E153</x:f>
        <x:v>0</x:v>
      </x:c>
      <x:c r="C153" s="3">
        <x:f>'1_참가선수입력'!C153</x:f>
        <x:v>0</x:v>
      </x:c>
      <x:c r="D153" s="3">
        <x:f>'1_참가선수입력'!D153</x:f>
        <x:v>0</x:v>
      </x:c>
      <x:c r="E153" s="3">
        <x:f>'1_참가선수입력'!F153</x:f>
        <x:v>0</x:v>
      </x:c>
      <x:c r="F153" s="4"/>
      <x:c r="G153" s="4"/>
      <x:c r="H153" s="3" t="str">
        <x:f>IF(F153="","",F153+A153/10000)</x:f>
        <x:v/>
      </x:c>
      <x:c r="I153" s="3" t="str">
        <x:f>IF(F153="","",RANK(H153,$H$4:$H$213,1))</x:f>
        <x:v/>
      </x:c>
      <x:c r="J153" s="3" t="str">
        <x:f>IF(I153="","",IF(I153&lt;=104,"진출",""))</x:f>
        <x:v/>
      </x:c>
      <x:c r="K153" s="3" t="str">
        <x:f>IF(J153="진출",I153,"")</x:f>
        <x:v/>
      </x:c>
      <x:c r="L153" s="4"/>
      <x:c r="M153" s="3" t="str">
        <x:f>IF(OR(F153="",L153=""),"",F153+L153)</x:f>
        <x:v/>
      </x:c>
    </x:row>
    <x:row r="154" spans="1:13">
      <x:c r="A154" s="3">
        <x:f>'1_참가선수입력'!A154</x:f>
        <x:v>151</x:v>
      </x:c>
      <x:c r="B154" s="3">
        <x:f>'1_참가선수입력'!E154</x:f>
        <x:v>0</x:v>
      </x:c>
      <x:c r="C154" s="3">
        <x:f>'1_참가선수입력'!C154</x:f>
        <x:v>0</x:v>
      </x:c>
      <x:c r="D154" s="3">
        <x:f>'1_참가선수입력'!D154</x:f>
        <x:v>0</x:v>
      </x:c>
      <x:c r="E154" s="3">
        <x:f>'1_참가선수입력'!F154</x:f>
        <x:v>0</x:v>
      </x:c>
      <x:c r="F154" s="4"/>
      <x:c r="G154" s="4"/>
      <x:c r="H154" s="3" t="str">
        <x:f>IF(F154="","",F154+A154/10000)</x:f>
        <x:v/>
      </x:c>
      <x:c r="I154" s="3" t="str">
        <x:f>IF(F154="","",RANK(H154,$H$4:$H$213,1))</x:f>
        <x:v/>
      </x:c>
      <x:c r="J154" s="3" t="str">
        <x:f>IF(I154="","",IF(I154&lt;=104,"진출",""))</x:f>
        <x:v/>
      </x:c>
      <x:c r="K154" s="3" t="str">
        <x:f>IF(J154="진출",I154,"")</x:f>
        <x:v/>
      </x:c>
      <x:c r="L154" s="4"/>
      <x:c r="M154" s="3" t="str">
        <x:f>IF(OR(F154="",L154=""),"",F154+L154)</x:f>
        <x:v/>
      </x:c>
    </x:row>
    <x:row r="155" spans="1:13">
      <x:c r="A155" s="3">
        <x:f>'1_참가선수입력'!A155</x:f>
        <x:v>152</x:v>
      </x:c>
      <x:c r="B155" s="3">
        <x:f>'1_참가선수입력'!E155</x:f>
        <x:v>0</x:v>
      </x:c>
      <x:c r="C155" s="3">
        <x:f>'1_참가선수입력'!C155</x:f>
        <x:v>0</x:v>
      </x:c>
      <x:c r="D155" s="3">
        <x:f>'1_참가선수입력'!D155</x:f>
        <x:v>0</x:v>
      </x:c>
      <x:c r="E155" s="3">
        <x:f>'1_참가선수입력'!F155</x:f>
        <x:v>0</x:v>
      </x:c>
      <x:c r="F155" s="4"/>
      <x:c r="G155" s="4"/>
      <x:c r="H155" s="3" t="str">
        <x:f>IF(F155="","",F155+A155/10000)</x:f>
        <x:v/>
      </x:c>
      <x:c r="I155" s="3" t="str">
        <x:f>IF(F155="","",RANK(H155,$H$4:$H$213,1))</x:f>
        <x:v/>
      </x:c>
      <x:c r="J155" s="3" t="str">
        <x:f>IF(I155="","",IF(I155&lt;=104,"진출",""))</x:f>
        <x:v/>
      </x:c>
      <x:c r="K155" s="3" t="str">
        <x:f>IF(J155="진출",I155,"")</x:f>
        <x:v/>
      </x:c>
      <x:c r="L155" s="4"/>
      <x:c r="M155" s="3" t="str">
        <x:f>IF(OR(F155="",L155=""),"",F155+L155)</x:f>
        <x:v/>
      </x:c>
    </x:row>
    <x:row r="156" spans="1:13">
      <x:c r="A156" s="3">
        <x:f>'1_참가선수입력'!A156</x:f>
        <x:v>153</x:v>
      </x:c>
      <x:c r="B156" s="3">
        <x:f>'1_참가선수입력'!E156</x:f>
        <x:v>0</x:v>
      </x:c>
      <x:c r="C156" s="3">
        <x:f>'1_참가선수입력'!C156</x:f>
        <x:v>0</x:v>
      </x:c>
      <x:c r="D156" s="3">
        <x:f>'1_참가선수입력'!D156</x:f>
        <x:v>0</x:v>
      </x:c>
      <x:c r="E156" s="3">
        <x:f>'1_참가선수입력'!F156</x:f>
        <x:v>0</x:v>
      </x:c>
      <x:c r="F156" s="4"/>
      <x:c r="G156" s="4"/>
      <x:c r="H156" s="3" t="str">
        <x:f>IF(F156="","",F156+A156/10000)</x:f>
        <x:v/>
      </x:c>
      <x:c r="I156" s="3" t="str">
        <x:f>IF(F156="","",RANK(H156,$H$4:$H$213,1))</x:f>
        <x:v/>
      </x:c>
      <x:c r="J156" s="3" t="str">
        <x:f>IF(I156="","",IF(I156&lt;=104,"진출",""))</x:f>
        <x:v/>
      </x:c>
      <x:c r="K156" s="3" t="str">
        <x:f>IF(J156="진출",I156,"")</x:f>
        <x:v/>
      </x:c>
      <x:c r="L156" s="4"/>
      <x:c r="M156" s="3" t="str">
        <x:f>IF(OR(F156="",L156=""),"",F156+L156)</x:f>
        <x:v/>
      </x:c>
    </x:row>
    <x:row r="157" spans="1:13">
      <x:c r="A157" s="3">
        <x:f>'1_참가선수입력'!A157</x:f>
        <x:v>154</x:v>
      </x:c>
      <x:c r="B157" s="3">
        <x:f>'1_참가선수입력'!E157</x:f>
        <x:v>0</x:v>
      </x:c>
      <x:c r="C157" s="3">
        <x:f>'1_참가선수입력'!C157</x:f>
        <x:v>0</x:v>
      </x:c>
      <x:c r="D157" s="3">
        <x:f>'1_참가선수입력'!D157</x:f>
        <x:v>0</x:v>
      </x:c>
      <x:c r="E157" s="3">
        <x:f>'1_참가선수입력'!F157</x:f>
        <x:v>0</x:v>
      </x:c>
      <x:c r="F157" s="4"/>
      <x:c r="G157" s="4"/>
      <x:c r="H157" s="3" t="str">
        <x:f>IF(F157="","",F157+A157/10000)</x:f>
        <x:v/>
      </x:c>
      <x:c r="I157" s="3" t="str">
        <x:f>IF(F157="","",RANK(H157,$H$4:$H$213,1))</x:f>
        <x:v/>
      </x:c>
      <x:c r="J157" s="3" t="str">
        <x:f>IF(I157="","",IF(I157&lt;=104,"진출",""))</x:f>
        <x:v/>
      </x:c>
      <x:c r="K157" s="3" t="str">
        <x:f>IF(J157="진출",I157,"")</x:f>
        <x:v/>
      </x:c>
      <x:c r="L157" s="4"/>
      <x:c r="M157" s="3" t="str">
        <x:f>IF(OR(F157="",L157=""),"",F157+L157)</x:f>
        <x:v/>
      </x:c>
    </x:row>
    <x:row r="158" spans="1:13">
      <x:c r="A158" s="3">
        <x:f>'1_참가선수입력'!A158</x:f>
        <x:v>155</x:v>
      </x:c>
      <x:c r="B158" s="3">
        <x:f>'1_참가선수입력'!E158</x:f>
        <x:v>0</x:v>
      </x:c>
      <x:c r="C158" s="3">
        <x:f>'1_참가선수입력'!C158</x:f>
        <x:v>0</x:v>
      </x:c>
      <x:c r="D158" s="3">
        <x:f>'1_참가선수입력'!D158</x:f>
        <x:v>0</x:v>
      </x:c>
      <x:c r="E158" s="3">
        <x:f>'1_참가선수입력'!F158</x:f>
        <x:v>0</x:v>
      </x:c>
      <x:c r="F158" s="4"/>
      <x:c r="G158" s="4"/>
      <x:c r="H158" s="3" t="str">
        <x:f>IF(F158="","",F158+A158/10000)</x:f>
        <x:v/>
      </x:c>
      <x:c r="I158" s="3" t="str">
        <x:f>IF(F158="","",RANK(H158,$H$4:$H$213,1))</x:f>
        <x:v/>
      </x:c>
      <x:c r="J158" s="3" t="str">
        <x:f>IF(I158="","",IF(I158&lt;=104,"진출",""))</x:f>
        <x:v/>
      </x:c>
      <x:c r="K158" s="3" t="str">
        <x:f>IF(J158="진출",I158,"")</x:f>
        <x:v/>
      </x:c>
      <x:c r="L158" s="4"/>
      <x:c r="M158" s="3" t="str">
        <x:f>IF(OR(F158="",L158=""),"",F158+L158)</x:f>
        <x:v/>
      </x:c>
    </x:row>
    <x:row r="159" spans="1:13">
      <x:c r="A159" s="3">
        <x:f>'1_참가선수입력'!A159</x:f>
        <x:v>156</x:v>
      </x:c>
      <x:c r="B159" s="3">
        <x:f>'1_참가선수입력'!E159</x:f>
        <x:v>0</x:v>
      </x:c>
      <x:c r="C159" s="3">
        <x:f>'1_참가선수입력'!C159</x:f>
        <x:v>0</x:v>
      </x:c>
      <x:c r="D159" s="3">
        <x:f>'1_참가선수입력'!D159</x:f>
        <x:v>0</x:v>
      </x:c>
      <x:c r="E159" s="3">
        <x:f>'1_참가선수입력'!F159</x:f>
        <x:v>0</x:v>
      </x:c>
      <x:c r="F159" s="4"/>
      <x:c r="G159" s="4"/>
      <x:c r="H159" s="3" t="str">
        <x:f>IF(F159="","",F159+A159/10000)</x:f>
        <x:v/>
      </x:c>
      <x:c r="I159" s="3" t="str">
        <x:f>IF(F159="","",RANK(H159,$H$4:$H$213,1))</x:f>
        <x:v/>
      </x:c>
      <x:c r="J159" s="3" t="str">
        <x:f>IF(I159="","",IF(I159&lt;=104,"진출",""))</x:f>
        <x:v/>
      </x:c>
      <x:c r="K159" s="3" t="str">
        <x:f>IF(J159="진출",I159,"")</x:f>
        <x:v/>
      </x:c>
      <x:c r="L159" s="4"/>
      <x:c r="M159" s="3" t="str">
        <x:f>IF(OR(F159="",L159=""),"",F159+L159)</x:f>
        <x:v/>
      </x:c>
    </x:row>
    <x:row r="160" spans="1:13">
      <x:c r="A160" s="3">
        <x:f>'1_참가선수입력'!A160</x:f>
        <x:v>157</x:v>
      </x:c>
      <x:c r="B160" s="3">
        <x:f>'1_참가선수입력'!E160</x:f>
        <x:v>0</x:v>
      </x:c>
      <x:c r="C160" s="3">
        <x:f>'1_참가선수입력'!C160</x:f>
        <x:v>0</x:v>
      </x:c>
      <x:c r="D160" s="3">
        <x:f>'1_참가선수입력'!D160</x:f>
        <x:v>0</x:v>
      </x:c>
      <x:c r="E160" s="3">
        <x:f>'1_참가선수입력'!F160</x:f>
        <x:v>0</x:v>
      </x:c>
      <x:c r="F160" s="4"/>
      <x:c r="G160" s="4"/>
      <x:c r="H160" s="3" t="str">
        <x:f>IF(F160="","",F160+A160/10000)</x:f>
        <x:v/>
      </x:c>
      <x:c r="I160" s="3" t="str">
        <x:f>IF(F160="","",RANK(H160,$H$4:$H$213,1))</x:f>
        <x:v/>
      </x:c>
      <x:c r="J160" s="3" t="str">
        <x:f>IF(I160="","",IF(I160&lt;=104,"진출",""))</x:f>
        <x:v/>
      </x:c>
      <x:c r="K160" s="3" t="str">
        <x:f>IF(J160="진출",I160,"")</x:f>
        <x:v/>
      </x:c>
      <x:c r="L160" s="4"/>
      <x:c r="M160" s="3" t="str">
        <x:f>IF(OR(F160="",L160=""),"",F160+L160)</x:f>
        <x:v/>
      </x:c>
    </x:row>
    <x:row r="161" spans="1:13">
      <x:c r="A161" s="3">
        <x:f>'1_참가선수입력'!A161</x:f>
        <x:v>158</x:v>
      </x:c>
      <x:c r="B161" s="3">
        <x:f>'1_참가선수입력'!E161</x:f>
        <x:v>0</x:v>
      </x:c>
      <x:c r="C161" s="3">
        <x:f>'1_참가선수입력'!C161</x:f>
        <x:v>0</x:v>
      </x:c>
      <x:c r="D161" s="3">
        <x:f>'1_참가선수입력'!D161</x:f>
        <x:v>0</x:v>
      </x:c>
      <x:c r="E161" s="3">
        <x:f>'1_참가선수입력'!F161</x:f>
        <x:v>0</x:v>
      </x:c>
      <x:c r="F161" s="4"/>
      <x:c r="G161" s="4"/>
      <x:c r="H161" s="3" t="str">
        <x:f>IF(F161="","",F161+A161/10000)</x:f>
        <x:v/>
      </x:c>
      <x:c r="I161" s="3" t="str">
        <x:f>IF(F161="","",RANK(H161,$H$4:$H$213,1))</x:f>
        <x:v/>
      </x:c>
      <x:c r="J161" s="3" t="str">
        <x:f>IF(I161="","",IF(I161&lt;=104,"진출",""))</x:f>
        <x:v/>
      </x:c>
      <x:c r="K161" s="3" t="str">
        <x:f>IF(J161="진출",I161,"")</x:f>
        <x:v/>
      </x:c>
      <x:c r="L161" s="4"/>
      <x:c r="M161" s="3" t="str">
        <x:f>IF(OR(F161="",L161=""),"",F161+L161)</x:f>
        <x:v/>
      </x:c>
    </x:row>
    <x:row r="162" spans="1:13">
      <x:c r="A162" s="3">
        <x:f>'1_참가선수입력'!A162</x:f>
        <x:v>159</x:v>
      </x:c>
      <x:c r="B162" s="3">
        <x:f>'1_참가선수입력'!E162</x:f>
        <x:v>0</x:v>
      </x:c>
      <x:c r="C162" s="3">
        <x:f>'1_참가선수입력'!C162</x:f>
        <x:v>0</x:v>
      </x:c>
      <x:c r="D162" s="3">
        <x:f>'1_참가선수입력'!D162</x:f>
        <x:v>0</x:v>
      </x:c>
      <x:c r="E162" s="3">
        <x:f>'1_참가선수입력'!F162</x:f>
        <x:v>0</x:v>
      </x:c>
      <x:c r="F162" s="4"/>
      <x:c r="G162" s="4"/>
      <x:c r="H162" s="3" t="str">
        <x:f>IF(F162="","",F162+A162/10000)</x:f>
        <x:v/>
      </x:c>
      <x:c r="I162" s="3" t="str">
        <x:f>IF(F162="","",RANK(H162,$H$4:$H$213,1))</x:f>
        <x:v/>
      </x:c>
      <x:c r="J162" s="3" t="str">
        <x:f>IF(I162="","",IF(I162&lt;=104,"진출",""))</x:f>
        <x:v/>
      </x:c>
      <x:c r="K162" s="3" t="str">
        <x:f>IF(J162="진출",I162,"")</x:f>
        <x:v/>
      </x:c>
      <x:c r="L162" s="4"/>
      <x:c r="M162" s="3" t="str">
        <x:f>IF(OR(F162="",L162=""),"",F162+L162)</x:f>
        <x:v/>
      </x:c>
    </x:row>
    <x:row r="163" spans="1:13">
      <x:c r="A163" s="3">
        <x:f>'1_참가선수입력'!A163</x:f>
        <x:v>160</x:v>
      </x:c>
      <x:c r="B163" s="3">
        <x:f>'1_참가선수입력'!E163</x:f>
        <x:v>0</x:v>
      </x:c>
      <x:c r="C163" s="3">
        <x:f>'1_참가선수입력'!C163</x:f>
        <x:v>0</x:v>
      </x:c>
      <x:c r="D163" s="3">
        <x:f>'1_참가선수입력'!D163</x:f>
        <x:v>0</x:v>
      </x:c>
      <x:c r="E163" s="3">
        <x:f>'1_참가선수입력'!F163</x:f>
        <x:v>0</x:v>
      </x:c>
      <x:c r="F163" s="4"/>
      <x:c r="G163" s="4"/>
      <x:c r="H163" s="3" t="str">
        <x:f>IF(F163="","",F163+A163/10000)</x:f>
        <x:v/>
      </x:c>
      <x:c r="I163" s="3" t="str">
        <x:f>IF(F163="","",RANK(H163,$H$4:$H$213,1))</x:f>
        <x:v/>
      </x:c>
      <x:c r="J163" s="3" t="str">
        <x:f>IF(I163="","",IF(I163&lt;=104,"진출",""))</x:f>
        <x:v/>
      </x:c>
      <x:c r="K163" s="3" t="str">
        <x:f>IF(J163="진출",I163,"")</x:f>
        <x:v/>
      </x:c>
      <x:c r="L163" s="4"/>
      <x:c r="M163" s="3" t="str">
        <x:f>IF(OR(F163="",L163=""),"",F163+L163)</x:f>
        <x:v/>
      </x:c>
    </x:row>
    <x:row r="164" spans="1:13">
      <x:c r="A164" s="3">
        <x:f>'1_참가선수입력'!A164</x:f>
        <x:v>161</x:v>
      </x:c>
      <x:c r="B164" s="3">
        <x:f>'1_참가선수입력'!E164</x:f>
        <x:v>0</x:v>
      </x:c>
      <x:c r="C164" s="3">
        <x:f>'1_참가선수입력'!C164</x:f>
        <x:v>0</x:v>
      </x:c>
      <x:c r="D164" s="3">
        <x:f>'1_참가선수입력'!D164</x:f>
        <x:v>0</x:v>
      </x:c>
      <x:c r="E164" s="3">
        <x:f>'1_참가선수입력'!F164</x:f>
        <x:v>0</x:v>
      </x:c>
      <x:c r="F164" s="4"/>
      <x:c r="G164" s="4"/>
      <x:c r="H164" s="3" t="str">
        <x:f>IF(F164="","",F164+A164/10000)</x:f>
        <x:v/>
      </x:c>
      <x:c r="I164" s="3" t="str">
        <x:f>IF(F164="","",RANK(H164,$H$4:$H$213,1))</x:f>
        <x:v/>
      </x:c>
      <x:c r="J164" s="3" t="str">
        <x:f>IF(I164="","",IF(I164&lt;=104,"진출",""))</x:f>
        <x:v/>
      </x:c>
      <x:c r="K164" s="3" t="str">
        <x:f>IF(J164="진출",I164,"")</x:f>
        <x:v/>
      </x:c>
      <x:c r="L164" s="4"/>
      <x:c r="M164" s="3" t="str">
        <x:f>IF(OR(F164="",L164=""),"",F164+L164)</x:f>
        <x:v/>
      </x:c>
    </x:row>
    <x:row r="165" spans="1:13">
      <x:c r="A165" s="3">
        <x:f>'1_참가선수입력'!A165</x:f>
        <x:v>162</x:v>
      </x:c>
      <x:c r="B165" s="3">
        <x:f>'1_참가선수입력'!E165</x:f>
        <x:v>0</x:v>
      </x:c>
      <x:c r="C165" s="3">
        <x:f>'1_참가선수입력'!C165</x:f>
        <x:v>0</x:v>
      </x:c>
      <x:c r="D165" s="3">
        <x:f>'1_참가선수입력'!D165</x:f>
        <x:v>0</x:v>
      </x:c>
      <x:c r="E165" s="3">
        <x:f>'1_참가선수입력'!F165</x:f>
        <x:v>0</x:v>
      </x:c>
      <x:c r="F165" s="4"/>
      <x:c r="G165" s="4"/>
      <x:c r="H165" s="3" t="str">
        <x:f>IF(F165="","",F165+A165/10000)</x:f>
        <x:v/>
      </x:c>
      <x:c r="I165" s="3" t="str">
        <x:f>IF(F165="","",RANK(H165,$H$4:$H$213,1))</x:f>
        <x:v/>
      </x:c>
      <x:c r="J165" s="3" t="str">
        <x:f>IF(I165="","",IF(I165&lt;=104,"진출",""))</x:f>
        <x:v/>
      </x:c>
      <x:c r="K165" s="3" t="str">
        <x:f>IF(J165="진출",I165,"")</x:f>
        <x:v/>
      </x:c>
      <x:c r="L165" s="4"/>
      <x:c r="M165" s="3" t="str">
        <x:f>IF(OR(F165="",L165=""),"",F165+L165)</x:f>
        <x:v/>
      </x:c>
    </x:row>
    <x:row r="166" spans="1:13">
      <x:c r="A166" s="3">
        <x:f>'1_참가선수입력'!A166</x:f>
        <x:v>163</x:v>
      </x:c>
      <x:c r="B166" s="3">
        <x:f>'1_참가선수입력'!E166</x:f>
        <x:v>0</x:v>
      </x:c>
      <x:c r="C166" s="3">
        <x:f>'1_참가선수입력'!C166</x:f>
        <x:v>0</x:v>
      </x:c>
      <x:c r="D166" s="3">
        <x:f>'1_참가선수입력'!D166</x:f>
        <x:v>0</x:v>
      </x:c>
      <x:c r="E166" s="3">
        <x:f>'1_참가선수입력'!F166</x:f>
        <x:v>0</x:v>
      </x:c>
      <x:c r="F166" s="4"/>
      <x:c r="G166" s="4"/>
      <x:c r="H166" s="3" t="str">
        <x:f>IF(F166="","",F166+A166/10000)</x:f>
        <x:v/>
      </x:c>
      <x:c r="I166" s="3" t="str">
        <x:f>IF(F166="","",RANK(H166,$H$4:$H$213,1))</x:f>
        <x:v/>
      </x:c>
      <x:c r="J166" s="3" t="str">
        <x:f>IF(I166="","",IF(I166&lt;=104,"진출",""))</x:f>
        <x:v/>
      </x:c>
      <x:c r="K166" s="3" t="str">
        <x:f>IF(J166="진출",I166,"")</x:f>
        <x:v/>
      </x:c>
      <x:c r="L166" s="4"/>
      <x:c r="M166" s="3" t="str">
        <x:f>IF(OR(F166="",L166=""),"",F166+L166)</x:f>
        <x:v/>
      </x:c>
    </x:row>
    <x:row r="167" spans="1:13">
      <x:c r="A167" s="3">
        <x:f>'1_참가선수입력'!A167</x:f>
        <x:v>164</x:v>
      </x:c>
      <x:c r="B167" s="3">
        <x:f>'1_참가선수입력'!E167</x:f>
        <x:v>0</x:v>
      </x:c>
      <x:c r="C167" s="3">
        <x:f>'1_참가선수입력'!C167</x:f>
        <x:v>0</x:v>
      </x:c>
      <x:c r="D167" s="3">
        <x:f>'1_참가선수입력'!D167</x:f>
        <x:v>0</x:v>
      </x:c>
      <x:c r="E167" s="3">
        <x:f>'1_참가선수입력'!F167</x:f>
        <x:v>0</x:v>
      </x:c>
      <x:c r="F167" s="4"/>
      <x:c r="G167" s="4"/>
      <x:c r="H167" s="3" t="str">
        <x:f>IF(F167="","",F167+A167/10000)</x:f>
        <x:v/>
      </x:c>
      <x:c r="I167" s="3" t="str">
        <x:f>IF(F167="","",RANK(H167,$H$4:$H$213,1))</x:f>
        <x:v/>
      </x:c>
      <x:c r="J167" s="3" t="str">
        <x:f>IF(I167="","",IF(I167&lt;=104,"진출",""))</x:f>
        <x:v/>
      </x:c>
      <x:c r="K167" s="3" t="str">
        <x:f>IF(J167="진출",I167,"")</x:f>
        <x:v/>
      </x:c>
      <x:c r="L167" s="4"/>
      <x:c r="M167" s="3" t="str">
        <x:f>IF(OR(F167="",L167=""),"",F167+L167)</x:f>
        <x:v/>
      </x:c>
    </x:row>
    <x:row r="168" spans="1:13">
      <x:c r="A168" s="3">
        <x:f>'1_참가선수입력'!A168</x:f>
        <x:v>165</x:v>
      </x:c>
      <x:c r="B168" s="3">
        <x:f>'1_참가선수입력'!E168</x:f>
        <x:v>0</x:v>
      </x:c>
      <x:c r="C168" s="3">
        <x:f>'1_참가선수입력'!C168</x:f>
        <x:v>0</x:v>
      </x:c>
      <x:c r="D168" s="3">
        <x:f>'1_참가선수입력'!D168</x:f>
        <x:v>0</x:v>
      </x:c>
      <x:c r="E168" s="3">
        <x:f>'1_참가선수입력'!F168</x:f>
        <x:v>0</x:v>
      </x:c>
      <x:c r="F168" s="4"/>
      <x:c r="G168" s="4"/>
      <x:c r="H168" s="3" t="str">
        <x:f>IF(F168="","",F168+A168/10000)</x:f>
        <x:v/>
      </x:c>
      <x:c r="I168" s="3" t="str">
        <x:f>IF(F168="","",RANK(H168,$H$4:$H$213,1))</x:f>
        <x:v/>
      </x:c>
      <x:c r="J168" s="3" t="str">
        <x:f>IF(I168="","",IF(I168&lt;=104,"진출",""))</x:f>
        <x:v/>
      </x:c>
      <x:c r="K168" s="3" t="str">
        <x:f>IF(J168="진출",I168,"")</x:f>
        <x:v/>
      </x:c>
      <x:c r="L168" s="4"/>
      <x:c r="M168" s="3" t="str">
        <x:f>IF(OR(F168="",L168=""),"",F168+L168)</x:f>
        <x:v/>
      </x:c>
    </x:row>
    <x:row r="169" spans="1:13">
      <x:c r="A169" s="3">
        <x:f>'1_참가선수입력'!A169</x:f>
        <x:v>166</x:v>
      </x:c>
      <x:c r="B169" s="3">
        <x:f>'1_참가선수입력'!E169</x:f>
        <x:v>0</x:v>
      </x:c>
      <x:c r="C169" s="3">
        <x:f>'1_참가선수입력'!C169</x:f>
        <x:v>0</x:v>
      </x:c>
      <x:c r="D169" s="3">
        <x:f>'1_참가선수입력'!D169</x:f>
        <x:v>0</x:v>
      </x:c>
      <x:c r="E169" s="3">
        <x:f>'1_참가선수입력'!F169</x:f>
        <x:v>0</x:v>
      </x:c>
      <x:c r="F169" s="4"/>
      <x:c r="G169" s="4"/>
      <x:c r="H169" s="3" t="str">
        <x:f>IF(F169="","",F169+A169/10000)</x:f>
        <x:v/>
      </x:c>
      <x:c r="I169" s="3" t="str">
        <x:f>IF(F169="","",RANK(H169,$H$4:$H$213,1))</x:f>
        <x:v/>
      </x:c>
      <x:c r="J169" s="3" t="str">
        <x:f>IF(I169="","",IF(I169&lt;=104,"진출",""))</x:f>
        <x:v/>
      </x:c>
      <x:c r="K169" s="3" t="str">
        <x:f>IF(J169="진출",I169,"")</x:f>
        <x:v/>
      </x:c>
      <x:c r="L169" s="4"/>
      <x:c r="M169" s="3" t="str">
        <x:f>IF(OR(F169="",L169=""),"",F169+L169)</x:f>
        <x:v/>
      </x:c>
    </x:row>
    <x:row r="170" spans="1:13">
      <x:c r="A170" s="3">
        <x:f>'1_참가선수입력'!A170</x:f>
        <x:v>167</x:v>
      </x:c>
      <x:c r="B170" s="3">
        <x:f>'1_참가선수입력'!E170</x:f>
        <x:v>0</x:v>
      </x:c>
      <x:c r="C170" s="3">
        <x:f>'1_참가선수입력'!C170</x:f>
        <x:v>0</x:v>
      </x:c>
      <x:c r="D170" s="3">
        <x:f>'1_참가선수입력'!D170</x:f>
        <x:v>0</x:v>
      </x:c>
      <x:c r="E170" s="3">
        <x:f>'1_참가선수입력'!F170</x:f>
        <x:v>0</x:v>
      </x:c>
      <x:c r="F170" s="4"/>
      <x:c r="G170" s="4"/>
      <x:c r="H170" s="3" t="str">
        <x:f>IF(F170="","",F170+A170/10000)</x:f>
        <x:v/>
      </x:c>
      <x:c r="I170" s="3" t="str">
        <x:f>IF(F170="","",RANK(H170,$H$4:$H$213,1))</x:f>
        <x:v/>
      </x:c>
      <x:c r="J170" s="3" t="str">
        <x:f>IF(I170="","",IF(I170&lt;=104,"진출",""))</x:f>
        <x:v/>
      </x:c>
      <x:c r="K170" s="3" t="str">
        <x:f>IF(J170="진출",I170,"")</x:f>
        <x:v/>
      </x:c>
      <x:c r="L170" s="4"/>
      <x:c r="M170" s="3" t="str">
        <x:f>IF(OR(F170="",L170=""),"",F170+L170)</x:f>
        <x:v/>
      </x:c>
    </x:row>
    <x:row r="171" spans="1:13">
      <x:c r="A171" s="3">
        <x:f>'1_참가선수입력'!A171</x:f>
        <x:v>168</x:v>
      </x:c>
      <x:c r="B171" s="3">
        <x:f>'1_참가선수입력'!E171</x:f>
        <x:v>0</x:v>
      </x:c>
      <x:c r="C171" s="3">
        <x:f>'1_참가선수입력'!C171</x:f>
        <x:v>0</x:v>
      </x:c>
      <x:c r="D171" s="3">
        <x:f>'1_참가선수입력'!D171</x:f>
        <x:v>0</x:v>
      </x:c>
      <x:c r="E171" s="3">
        <x:f>'1_참가선수입력'!F171</x:f>
        <x:v>0</x:v>
      </x:c>
      <x:c r="F171" s="4"/>
      <x:c r="G171" s="4"/>
      <x:c r="H171" s="3" t="str">
        <x:f>IF(F171="","",F171+A171/10000)</x:f>
        <x:v/>
      </x:c>
      <x:c r="I171" s="3" t="str">
        <x:f>IF(F171="","",RANK(H171,$H$4:$H$213,1))</x:f>
        <x:v/>
      </x:c>
      <x:c r="J171" s="3" t="str">
        <x:f>IF(I171="","",IF(I171&lt;=104,"진출",""))</x:f>
        <x:v/>
      </x:c>
      <x:c r="K171" s="3" t="str">
        <x:f>IF(J171="진출",I171,"")</x:f>
        <x:v/>
      </x:c>
      <x:c r="L171" s="4"/>
      <x:c r="M171" s="3" t="str">
        <x:f>IF(OR(F171="",L171=""),"",F171+L171)</x:f>
        <x:v/>
      </x:c>
    </x:row>
    <x:row r="172" spans="1:13">
      <x:c r="A172" s="3">
        <x:f>'1_참가선수입력'!A172</x:f>
        <x:v>169</x:v>
      </x:c>
      <x:c r="B172" s="3">
        <x:f>'1_참가선수입력'!E172</x:f>
        <x:v>0</x:v>
      </x:c>
      <x:c r="C172" s="3">
        <x:f>'1_참가선수입력'!C172</x:f>
        <x:v>0</x:v>
      </x:c>
      <x:c r="D172" s="3">
        <x:f>'1_참가선수입력'!D172</x:f>
        <x:v>0</x:v>
      </x:c>
      <x:c r="E172" s="3">
        <x:f>'1_참가선수입력'!F172</x:f>
        <x:v>0</x:v>
      </x:c>
      <x:c r="F172" s="4"/>
      <x:c r="G172" s="4"/>
      <x:c r="H172" s="3" t="str">
        <x:f>IF(F172="","",F172+A172/10000)</x:f>
        <x:v/>
      </x:c>
      <x:c r="I172" s="3" t="str">
        <x:f>IF(F172="","",RANK(H172,$H$4:$H$213,1))</x:f>
        <x:v/>
      </x:c>
      <x:c r="J172" s="3" t="str">
        <x:f>IF(I172="","",IF(I172&lt;=104,"진출",""))</x:f>
        <x:v/>
      </x:c>
      <x:c r="K172" s="3" t="str">
        <x:f>IF(J172="진출",I172,"")</x:f>
        <x:v/>
      </x:c>
      <x:c r="L172" s="4"/>
      <x:c r="M172" s="3" t="str">
        <x:f>IF(OR(F172="",L172=""),"",F172+L172)</x:f>
        <x:v/>
      </x:c>
    </x:row>
    <x:row r="173" spans="1:13">
      <x:c r="A173" s="3">
        <x:f>'1_참가선수입력'!A173</x:f>
        <x:v>170</x:v>
      </x:c>
      <x:c r="B173" s="3">
        <x:f>'1_참가선수입력'!E173</x:f>
        <x:v>0</x:v>
      </x:c>
      <x:c r="C173" s="3">
        <x:f>'1_참가선수입력'!C173</x:f>
        <x:v>0</x:v>
      </x:c>
      <x:c r="D173" s="3">
        <x:f>'1_참가선수입력'!D173</x:f>
        <x:v>0</x:v>
      </x:c>
      <x:c r="E173" s="3">
        <x:f>'1_참가선수입력'!F173</x:f>
        <x:v>0</x:v>
      </x:c>
      <x:c r="F173" s="4"/>
      <x:c r="G173" s="4"/>
      <x:c r="H173" s="3" t="str">
        <x:f>IF(F173="","",F173+A173/10000)</x:f>
        <x:v/>
      </x:c>
      <x:c r="I173" s="3" t="str">
        <x:f>IF(F173="","",RANK(H173,$H$4:$H$213,1))</x:f>
        <x:v/>
      </x:c>
      <x:c r="J173" s="3" t="str">
        <x:f>IF(I173="","",IF(I173&lt;=104,"진출",""))</x:f>
        <x:v/>
      </x:c>
      <x:c r="K173" s="3" t="str">
        <x:f>IF(J173="진출",I173,"")</x:f>
        <x:v/>
      </x:c>
      <x:c r="L173" s="4"/>
      <x:c r="M173" s="3" t="str">
        <x:f>IF(OR(F173="",L173=""),"",F173+L173)</x:f>
        <x:v/>
      </x:c>
    </x:row>
    <x:row r="174" spans="1:13">
      <x:c r="A174" s="3">
        <x:f>'1_참가선수입력'!A174</x:f>
        <x:v>171</x:v>
      </x:c>
      <x:c r="B174" s="3">
        <x:f>'1_참가선수입력'!E174</x:f>
        <x:v>0</x:v>
      </x:c>
      <x:c r="C174" s="3">
        <x:f>'1_참가선수입력'!C174</x:f>
        <x:v>0</x:v>
      </x:c>
      <x:c r="D174" s="3">
        <x:f>'1_참가선수입력'!D174</x:f>
        <x:v>0</x:v>
      </x:c>
      <x:c r="E174" s="3">
        <x:f>'1_참가선수입력'!F174</x:f>
        <x:v>0</x:v>
      </x:c>
      <x:c r="F174" s="4"/>
      <x:c r="G174" s="4"/>
      <x:c r="H174" s="3" t="str">
        <x:f>IF(F174="","",F174+A174/10000)</x:f>
        <x:v/>
      </x:c>
      <x:c r="I174" s="3" t="str">
        <x:f>IF(F174="","",RANK(H174,$H$4:$H$213,1))</x:f>
        <x:v/>
      </x:c>
      <x:c r="J174" s="3" t="str">
        <x:f>IF(I174="","",IF(I174&lt;=104,"진출",""))</x:f>
        <x:v/>
      </x:c>
      <x:c r="K174" s="3" t="str">
        <x:f>IF(J174="진출",I174,"")</x:f>
        <x:v/>
      </x:c>
      <x:c r="L174" s="4"/>
      <x:c r="M174" s="3" t="str">
        <x:f>IF(OR(F174="",L174=""),"",F174+L174)</x:f>
        <x:v/>
      </x:c>
    </x:row>
    <x:row r="175" spans="1:13">
      <x:c r="A175" s="3">
        <x:f>'1_참가선수입력'!A175</x:f>
        <x:v>172</x:v>
      </x:c>
      <x:c r="B175" s="3">
        <x:f>'1_참가선수입력'!E175</x:f>
        <x:v>0</x:v>
      </x:c>
      <x:c r="C175" s="3">
        <x:f>'1_참가선수입력'!C175</x:f>
        <x:v>0</x:v>
      </x:c>
      <x:c r="D175" s="3">
        <x:f>'1_참가선수입력'!D175</x:f>
        <x:v>0</x:v>
      </x:c>
      <x:c r="E175" s="3">
        <x:f>'1_참가선수입력'!F175</x:f>
        <x:v>0</x:v>
      </x:c>
      <x:c r="F175" s="4"/>
      <x:c r="G175" s="4"/>
      <x:c r="H175" s="3" t="str">
        <x:f>IF(F175="","",F175+A175/10000)</x:f>
        <x:v/>
      </x:c>
      <x:c r="I175" s="3" t="str">
        <x:f>IF(F175="","",RANK(H175,$H$4:$H$213,1))</x:f>
        <x:v/>
      </x:c>
      <x:c r="J175" s="3" t="str">
        <x:f>IF(I175="","",IF(I175&lt;=104,"진출",""))</x:f>
        <x:v/>
      </x:c>
      <x:c r="K175" s="3" t="str">
        <x:f>IF(J175="진출",I175,"")</x:f>
        <x:v/>
      </x:c>
      <x:c r="L175" s="4"/>
      <x:c r="M175" s="3" t="str">
        <x:f>IF(OR(F175="",L175=""),"",F175+L175)</x:f>
        <x:v/>
      </x:c>
    </x:row>
    <x:row r="176" spans="1:13">
      <x:c r="A176" s="3">
        <x:f>'1_참가선수입력'!A176</x:f>
        <x:v>173</x:v>
      </x:c>
      <x:c r="B176" s="3">
        <x:f>'1_참가선수입력'!E176</x:f>
        <x:v>0</x:v>
      </x:c>
      <x:c r="C176" s="3">
        <x:f>'1_참가선수입력'!C176</x:f>
        <x:v>0</x:v>
      </x:c>
      <x:c r="D176" s="3">
        <x:f>'1_참가선수입력'!D176</x:f>
        <x:v>0</x:v>
      </x:c>
      <x:c r="E176" s="3">
        <x:f>'1_참가선수입력'!F176</x:f>
        <x:v>0</x:v>
      </x:c>
      <x:c r="F176" s="4"/>
      <x:c r="G176" s="4"/>
      <x:c r="H176" s="3" t="str">
        <x:f>IF(F176="","",F176+A176/10000)</x:f>
        <x:v/>
      </x:c>
      <x:c r="I176" s="3" t="str">
        <x:f>IF(F176="","",RANK(H176,$H$4:$H$213,1))</x:f>
        <x:v/>
      </x:c>
      <x:c r="J176" s="3" t="str">
        <x:f>IF(I176="","",IF(I176&lt;=104,"진출",""))</x:f>
        <x:v/>
      </x:c>
      <x:c r="K176" s="3" t="str">
        <x:f>IF(J176="진출",I176,"")</x:f>
        <x:v/>
      </x:c>
      <x:c r="L176" s="4"/>
      <x:c r="M176" s="3" t="str">
        <x:f>IF(OR(F176="",L176=""),"",F176+L176)</x:f>
        <x:v/>
      </x:c>
    </x:row>
    <x:row r="177" spans="1:13">
      <x:c r="A177" s="3">
        <x:f>'1_참가선수입력'!A177</x:f>
        <x:v>174</x:v>
      </x:c>
      <x:c r="B177" s="3">
        <x:f>'1_참가선수입력'!E177</x:f>
        <x:v>0</x:v>
      </x:c>
      <x:c r="C177" s="3">
        <x:f>'1_참가선수입력'!C177</x:f>
        <x:v>0</x:v>
      </x:c>
      <x:c r="D177" s="3">
        <x:f>'1_참가선수입력'!D177</x:f>
        <x:v>0</x:v>
      </x:c>
      <x:c r="E177" s="3">
        <x:f>'1_참가선수입력'!F177</x:f>
        <x:v>0</x:v>
      </x:c>
      <x:c r="F177" s="4"/>
      <x:c r="G177" s="4"/>
      <x:c r="H177" s="3" t="str">
        <x:f>IF(F177="","",F177+A177/10000)</x:f>
        <x:v/>
      </x:c>
      <x:c r="I177" s="3" t="str">
        <x:f>IF(F177="","",RANK(H177,$H$4:$H$213,1))</x:f>
        <x:v/>
      </x:c>
      <x:c r="J177" s="3" t="str">
        <x:f>IF(I177="","",IF(I177&lt;=104,"진출",""))</x:f>
        <x:v/>
      </x:c>
      <x:c r="K177" s="3" t="str">
        <x:f>IF(J177="진출",I177,"")</x:f>
        <x:v/>
      </x:c>
      <x:c r="L177" s="4"/>
      <x:c r="M177" s="3" t="str">
        <x:f>IF(OR(F177="",L177=""),"",F177+L177)</x:f>
        <x:v/>
      </x:c>
    </x:row>
    <x:row r="178" spans="1:13">
      <x:c r="A178" s="3">
        <x:f>'1_참가선수입력'!A178</x:f>
        <x:v>175</x:v>
      </x:c>
      <x:c r="B178" s="3">
        <x:f>'1_참가선수입력'!E178</x:f>
        <x:v>0</x:v>
      </x:c>
      <x:c r="C178" s="3">
        <x:f>'1_참가선수입력'!C178</x:f>
        <x:v>0</x:v>
      </x:c>
      <x:c r="D178" s="3">
        <x:f>'1_참가선수입력'!D178</x:f>
        <x:v>0</x:v>
      </x:c>
      <x:c r="E178" s="3">
        <x:f>'1_참가선수입력'!F178</x:f>
        <x:v>0</x:v>
      </x:c>
      <x:c r="F178" s="4"/>
      <x:c r="G178" s="4"/>
      <x:c r="H178" s="3" t="str">
        <x:f>IF(F178="","",F178+A178/10000)</x:f>
        <x:v/>
      </x:c>
      <x:c r="I178" s="3" t="str">
        <x:f>IF(F178="","",RANK(H178,$H$4:$H$213,1))</x:f>
        <x:v/>
      </x:c>
      <x:c r="J178" s="3" t="str">
        <x:f>IF(I178="","",IF(I178&lt;=104,"진출",""))</x:f>
        <x:v/>
      </x:c>
      <x:c r="K178" s="3" t="str">
        <x:f>IF(J178="진출",I178,"")</x:f>
        <x:v/>
      </x:c>
      <x:c r="L178" s="4"/>
      <x:c r="M178" s="3" t="str">
        <x:f>IF(OR(F178="",L178=""),"",F178+L178)</x:f>
        <x:v/>
      </x:c>
    </x:row>
    <x:row r="179" spans="1:13">
      <x:c r="A179" s="3">
        <x:f>'1_참가선수입력'!A179</x:f>
        <x:v>176</x:v>
      </x:c>
      <x:c r="B179" s="3">
        <x:f>'1_참가선수입력'!E179</x:f>
        <x:v>0</x:v>
      </x:c>
      <x:c r="C179" s="3">
        <x:f>'1_참가선수입력'!C179</x:f>
        <x:v>0</x:v>
      </x:c>
      <x:c r="D179" s="3">
        <x:f>'1_참가선수입력'!D179</x:f>
        <x:v>0</x:v>
      </x:c>
      <x:c r="E179" s="3">
        <x:f>'1_참가선수입력'!F179</x:f>
        <x:v>0</x:v>
      </x:c>
      <x:c r="F179" s="4"/>
      <x:c r="G179" s="4"/>
      <x:c r="H179" s="3" t="str">
        <x:f>IF(F179="","",F179+A179/10000)</x:f>
        <x:v/>
      </x:c>
      <x:c r="I179" s="3" t="str">
        <x:f>IF(F179="","",RANK(H179,$H$4:$H$213,1))</x:f>
        <x:v/>
      </x:c>
      <x:c r="J179" s="3" t="str">
        <x:f>IF(I179="","",IF(I179&lt;=104,"진출",""))</x:f>
        <x:v/>
      </x:c>
      <x:c r="K179" s="3" t="str">
        <x:f>IF(J179="진출",I179,"")</x:f>
        <x:v/>
      </x:c>
      <x:c r="L179" s="4"/>
      <x:c r="M179" s="3" t="str">
        <x:f>IF(OR(F179="",L179=""),"",F179+L179)</x:f>
        <x:v/>
      </x:c>
    </x:row>
    <x:row r="180" spans="1:13">
      <x:c r="A180" s="3">
        <x:f>'1_참가선수입력'!A180</x:f>
        <x:v>177</x:v>
      </x:c>
      <x:c r="B180" s="3">
        <x:f>'1_참가선수입력'!E180</x:f>
        <x:v>0</x:v>
      </x:c>
      <x:c r="C180" s="3">
        <x:f>'1_참가선수입력'!C180</x:f>
        <x:v>0</x:v>
      </x:c>
      <x:c r="D180" s="3">
        <x:f>'1_참가선수입력'!D180</x:f>
        <x:v>0</x:v>
      </x:c>
      <x:c r="E180" s="3">
        <x:f>'1_참가선수입력'!F180</x:f>
        <x:v>0</x:v>
      </x:c>
      <x:c r="F180" s="4"/>
      <x:c r="G180" s="4"/>
      <x:c r="H180" s="3" t="str">
        <x:f>IF(F180="","",F180+A180/10000)</x:f>
        <x:v/>
      </x:c>
      <x:c r="I180" s="3" t="str">
        <x:f>IF(F180="","",RANK(H180,$H$4:$H$213,1))</x:f>
        <x:v/>
      </x:c>
      <x:c r="J180" s="3" t="str">
        <x:f>IF(I180="","",IF(I180&lt;=104,"진출",""))</x:f>
        <x:v/>
      </x:c>
      <x:c r="K180" s="3" t="str">
        <x:f>IF(J180="진출",I180,"")</x:f>
        <x:v/>
      </x:c>
      <x:c r="L180" s="4"/>
      <x:c r="M180" s="3" t="str">
        <x:f>IF(OR(F180="",L180=""),"",F180+L180)</x:f>
        <x:v/>
      </x:c>
    </x:row>
    <x:row r="181" spans="1:13">
      <x:c r="A181" s="3">
        <x:f>'1_참가선수입력'!A181</x:f>
        <x:v>178</x:v>
      </x:c>
      <x:c r="B181" s="3">
        <x:f>'1_참가선수입력'!E181</x:f>
        <x:v>0</x:v>
      </x:c>
      <x:c r="C181" s="3">
        <x:f>'1_참가선수입력'!C181</x:f>
        <x:v>0</x:v>
      </x:c>
      <x:c r="D181" s="3">
        <x:f>'1_참가선수입력'!D181</x:f>
        <x:v>0</x:v>
      </x:c>
      <x:c r="E181" s="3">
        <x:f>'1_참가선수입력'!F181</x:f>
        <x:v>0</x:v>
      </x:c>
      <x:c r="F181" s="4"/>
      <x:c r="G181" s="4"/>
      <x:c r="H181" s="3" t="str">
        <x:f>IF(F181="","",F181+A181/10000)</x:f>
        <x:v/>
      </x:c>
      <x:c r="I181" s="3" t="str">
        <x:f>IF(F181="","",RANK(H181,$H$4:$H$213,1))</x:f>
        <x:v/>
      </x:c>
      <x:c r="J181" s="3" t="str">
        <x:f>IF(I181="","",IF(I181&lt;=104,"진출",""))</x:f>
        <x:v/>
      </x:c>
      <x:c r="K181" s="3" t="str">
        <x:f>IF(J181="진출",I181,"")</x:f>
        <x:v/>
      </x:c>
      <x:c r="L181" s="4"/>
      <x:c r="M181" s="3" t="str">
        <x:f>IF(OR(F181="",L181=""),"",F181+L181)</x:f>
        <x:v/>
      </x:c>
    </x:row>
    <x:row r="182" spans="1:13">
      <x:c r="A182" s="3">
        <x:f>'1_참가선수입력'!A182</x:f>
        <x:v>179</x:v>
      </x:c>
      <x:c r="B182" s="3">
        <x:f>'1_참가선수입력'!E182</x:f>
        <x:v>0</x:v>
      </x:c>
      <x:c r="C182" s="3">
        <x:f>'1_참가선수입력'!C182</x:f>
        <x:v>0</x:v>
      </x:c>
      <x:c r="D182" s="3">
        <x:f>'1_참가선수입력'!D182</x:f>
        <x:v>0</x:v>
      </x:c>
      <x:c r="E182" s="3">
        <x:f>'1_참가선수입력'!F182</x:f>
        <x:v>0</x:v>
      </x:c>
      <x:c r="F182" s="4"/>
      <x:c r="G182" s="4"/>
      <x:c r="H182" s="3" t="str">
        <x:f>IF(F182="","",F182+A182/10000)</x:f>
        <x:v/>
      </x:c>
      <x:c r="I182" s="3" t="str">
        <x:f>IF(F182="","",RANK(H182,$H$4:$H$213,1))</x:f>
        <x:v/>
      </x:c>
      <x:c r="J182" s="3" t="str">
        <x:f>IF(I182="","",IF(I182&lt;=104,"진출",""))</x:f>
        <x:v/>
      </x:c>
      <x:c r="K182" s="3" t="str">
        <x:f>IF(J182="진출",I182,"")</x:f>
        <x:v/>
      </x:c>
      <x:c r="L182" s="4"/>
      <x:c r="M182" s="3" t="str">
        <x:f>IF(OR(F182="",L182=""),"",F182+L182)</x:f>
        <x:v/>
      </x:c>
    </x:row>
    <x:row r="183" spans="1:13">
      <x:c r="A183" s="3">
        <x:f>'1_참가선수입력'!A183</x:f>
        <x:v>180</x:v>
      </x:c>
      <x:c r="B183" s="3">
        <x:f>'1_참가선수입력'!E183</x:f>
        <x:v>0</x:v>
      </x:c>
      <x:c r="C183" s="3">
        <x:f>'1_참가선수입력'!C183</x:f>
        <x:v>0</x:v>
      </x:c>
      <x:c r="D183" s="3">
        <x:f>'1_참가선수입력'!D183</x:f>
        <x:v>0</x:v>
      </x:c>
      <x:c r="E183" s="3">
        <x:f>'1_참가선수입력'!F183</x:f>
        <x:v>0</x:v>
      </x:c>
      <x:c r="F183" s="4"/>
      <x:c r="G183" s="4"/>
      <x:c r="H183" s="3" t="str">
        <x:f>IF(F183="","",F183+A183/10000)</x:f>
        <x:v/>
      </x:c>
      <x:c r="I183" s="3" t="str">
        <x:f>IF(F183="","",RANK(H183,$H$4:$H$213,1))</x:f>
        <x:v/>
      </x:c>
      <x:c r="J183" s="3" t="str">
        <x:f>IF(I183="","",IF(I183&lt;=104,"진출",""))</x:f>
        <x:v/>
      </x:c>
      <x:c r="K183" s="3" t="str">
        <x:f>IF(J183="진출",I183,"")</x:f>
        <x:v/>
      </x:c>
      <x:c r="L183" s="4"/>
      <x:c r="M183" s="3" t="str">
        <x:f>IF(OR(F183="",L183=""),"",F183+L183)</x:f>
        <x:v/>
      </x:c>
    </x:row>
    <x:row r="184" spans="1:13">
      <x:c r="A184" s="3">
        <x:f>'1_참가선수입력'!A184</x:f>
        <x:v>181</x:v>
      </x:c>
      <x:c r="B184" s="3">
        <x:f>'1_참가선수입력'!E184</x:f>
        <x:v>0</x:v>
      </x:c>
      <x:c r="C184" s="3">
        <x:f>'1_참가선수입력'!C184</x:f>
        <x:v>0</x:v>
      </x:c>
      <x:c r="D184" s="3">
        <x:f>'1_참가선수입력'!D184</x:f>
        <x:v>0</x:v>
      </x:c>
      <x:c r="E184" s="3">
        <x:f>'1_참가선수입력'!F184</x:f>
        <x:v>0</x:v>
      </x:c>
      <x:c r="F184" s="4"/>
      <x:c r="G184" s="4"/>
      <x:c r="H184" s="3" t="str">
        <x:f>IF(F184="","",F184+A184/10000)</x:f>
        <x:v/>
      </x:c>
      <x:c r="I184" s="3" t="str">
        <x:f>IF(F184="","",RANK(H184,$H$4:$H$213,1))</x:f>
        <x:v/>
      </x:c>
      <x:c r="J184" s="3" t="str">
        <x:f>IF(I184="","",IF(I184&lt;=104,"진출",""))</x:f>
        <x:v/>
      </x:c>
      <x:c r="K184" s="3" t="str">
        <x:f>IF(J184="진출",I184,"")</x:f>
        <x:v/>
      </x:c>
      <x:c r="L184" s="4"/>
      <x:c r="M184" s="3" t="str">
        <x:f>IF(OR(F184="",L184=""),"",F184+L184)</x:f>
        <x:v/>
      </x:c>
    </x:row>
    <x:row r="185" spans="1:13">
      <x:c r="A185" s="3">
        <x:f>'1_참가선수입력'!A185</x:f>
        <x:v>182</x:v>
      </x:c>
      <x:c r="B185" s="3">
        <x:f>'1_참가선수입력'!E185</x:f>
        <x:v>0</x:v>
      </x:c>
      <x:c r="C185" s="3">
        <x:f>'1_참가선수입력'!C185</x:f>
        <x:v>0</x:v>
      </x:c>
      <x:c r="D185" s="3">
        <x:f>'1_참가선수입력'!D185</x:f>
        <x:v>0</x:v>
      </x:c>
      <x:c r="E185" s="3">
        <x:f>'1_참가선수입력'!F185</x:f>
        <x:v>0</x:v>
      </x:c>
      <x:c r="F185" s="4"/>
      <x:c r="G185" s="4"/>
      <x:c r="H185" s="3" t="str">
        <x:f>IF(F185="","",F185+A185/10000)</x:f>
        <x:v/>
      </x:c>
      <x:c r="I185" s="3" t="str">
        <x:f>IF(F185="","",RANK(H185,$H$4:$H$213,1))</x:f>
        <x:v/>
      </x:c>
      <x:c r="J185" s="3" t="str">
        <x:f>IF(I185="","",IF(I185&lt;=104,"진출",""))</x:f>
        <x:v/>
      </x:c>
      <x:c r="K185" s="3" t="str">
        <x:f>IF(J185="진출",I185,"")</x:f>
        <x:v/>
      </x:c>
      <x:c r="L185" s="4"/>
      <x:c r="M185" s="3" t="str">
        <x:f>IF(OR(F185="",L185=""),"",F185+L185)</x:f>
        <x:v/>
      </x:c>
    </x:row>
    <x:row r="186" spans="1:13">
      <x:c r="A186" s="3">
        <x:f>'1_참가선수입력'!A186</x:f>
        <x:v>183</x:v>
      </x:c>
      <x:c r="B186" s="3">
        <x:f>'1_참가선수입력'!E186</x:f>
        <x:v>0</x:v>
      </x:c>
      <x:c r="C186" s="3">
        <x:f>'1_참가선수입력'!C186</x:f>
        <x:v>0</x:v>
      </x:c>
      <x:c r="D186" s="3">
        <x:f>'1_참가선수입력'!D186</x:f>
        <x:v>0</x:v>
      </x:c>
      <x:c r="E186" s="3">
        <x:f>'1_참가선수입력'!F186</x:f>
        <x:v>0</x:v>
      </x:c>
      <x:c r="F186" s="4"/>
      <x:c r="G186" s="4"/>
      <x:c r="H186" s="3" t="str">
        <x:f>IF(F186="","",F186+A186/10000)</x:f>
        <x:v/>
      </x:c>
      <x:c r="I186" s="3" t="str">
        <x:f>IF(F186="","",RANK(H186,$H$4:$H$213,1))</x:f>
        <x:v/>
      </x:c>
      <x:c r="J186" s="3" t="str">
        <x:f>IF(I186="","",IF(I186&lt;=104,"진출",""))</x:f>
        <x:v/>
      </x:c>
      <x:c r="K186" s="3" t="str">
        <x:f>IF(J186="진출",I186,"")</x:f>
        <x:v/>
      </x:c>
      <x:c r="L186" s="4"/>
      <x:c r="M186" s="3" t="str">
        <x:f>IF(OR(F186="",L186=""),"",F186+L186)</x:f>
        <x:v/>
      </x:c>
    </x:row>
    <x:row r="187" spans="1:13">
      <x:c r="A187" s="3">
        <x:f>'1_참가선수입력'!A187</x:f>
        <x:v>184</x:v>
      </x:c>
      <x:c r="B187" s="3">
        <x:f>'1_참가선수입력'!E187</x:f>
        <x:v>0</x:v>
      </x:c>
      <x:c r="C187" s="3">
        <x:f>'1_참가선수입력'!C187</x:f>
        <x:v>0</x:v>
      </x:c>
      <x:c r="D187" s="3">
        <x:f>'1_참가선수입력'!D187</x:f>
        <x:v>0</x:v>
      </x:c>
      <x:c r="E187" s="3">
        <x:f>'1_참가선수입력'!F187</x:f>
        <x:v>0</x:v>
      </x:c>
      <x:c r="F187" s="4"/>
      <x:c r="G187" s="4"/>
      <x:c r="H187" s="3" t="str">
        <x:f>IF(F187="","",F187+A187/10000)</x:f>
        <x:v/>
      </x:c>
      <x:c r="I187" s="3" t="str">
        <x:f>IF(F187="","",RANK(H187,$H$4:$H$213,1))</x:f>
        <x:v/>
      </x:c>
      <x:c r="J187" s="3" t="str">
        <x:f>IF(I187="","",IF(I187&lt;=104,"진출",""))</x:f>
        <x:v/>
      </x:c>
      <x:c r="K187" s="3" t="str">
        <x:f>IF(J187="진출",I187,"")</x:f>
        <x:v/>
      </x:c>
      <x:c r="L187" s="4"/>
      <x:c r="M187" s="3" t="str">
        <x:f>IF(OR(F187="",L187=""),"",F187+L187)</x:f>
        <x:v/>
      </x:c>
    </x:row>
    <x:row r="188" spans="1:13">
      <x:c r="A188" s="3">
        <x:f>'1_참가선수입력'!A188</x:f>
        <x:v>185</x:v>
      </x:c>
      <x:c r="B188" s="3">
        <x:f>'1_참가선수입력'!E188</x:f>
        <x:v>0</x:v>
      </x:c>
      <x:c r="C188" s="3">
        <x:f>'1_참가선수입력'!C188</x:f>
        <x:v>0</x:v>
      </x:c>
      <x:c r="D188" s="3">
        <x:f>'1_참가선수입력'!D188</x:f>
        <x:v>0</x:v>
      </x:c>
      <x:c r="E188" s="3">
        <x:f>'1_참가선수입력'!F188</x:f>
        <x:v>0</x:v>
      </x:c>
      <x:c r="F188" s="4"/>
      <x:c r="G188" s="4"/>
      <x:c r="H188" s="3" t="str">
        <x:f>IF(F188="","",F188+A188/10000)</x:f>
        <x:v/>
      </x:c>
      <x:c r="I188" s="3" t="str">
        <x:f>IF(F188="","",RANK(H188,$H$4:$H$213,1))</x:f>
        <x:v/>
      </x:c>
      <x:c r="J188" s="3" t="str">
        <x:f>IF(I188="","",IF(I188&lt;=104,"진출",""))</x:f>
        <x:v/>
      </x:c>
      <x:c r="K188" s="3" t="str">
        <x:f>IF(J188="진출",I188,"")</x:f>
        <x:v/>
      </x:c>
      <x:c r="L188" s="4"/>
      <x:c r="M188" s="3" t="str">
        <x:f>IF(OR(F188="",L188=""),"",F188+L188)</x:f>
        <x:v/>
      </x:c>
    </x:row>
    <x:row r="189" spans="1:13">
      <x:c r="A189" s="3">
        <x:f>'1_참가선수입력'!A189</x:f>
        <x:v>186</x:v>
      </x:c>
      <x:c r="B189" s="3">
        <x:f>'1_참가선수입력'!E189</x:f>
        <x:v>0</x:v>
      </x:c>
      <x:c r="C189" s="3">
        <x:f>'1_참가선수입력'!C189</x:f>
        <x:v>0</x:v>
      </x:c>
      <x:c r="D189" s="3">
        <x:f>'1_참가선수입력'!D189</x:f>
        <x:v>0</x:v>
      </x:c>
      <x:c r="E189" s="3">
        <x:f>'1_참가선수입력'!F189</x:f>
        <x:v>0</x:v>
      </x:c>
      <x:c r="F189" s="4"/>
      <x:c r="G189" s="4"/>
      <x:c r="H189" s="3" t="str">
        <x:f>IF(F189="","",F189+A189/10000)</x:f>
        <x:v/>
      </x:c>
      <x:c r="I189" s="3" t="str">
        <x:f>IF(F189="","",RANK(H189,$H$4:$H$213,1))</x:f>
        <x:v/>
      </x:c>
      <x:c r="J189" s="3" t="str">
        <x:f>IF(I189="","",IF(I189&lt;=104,"진출",""))</x:f>
        <x:v/>
      </x:c>
      <x:c r="K189" s="3" t="str">
        <x:f>IF(J189="진출",I189,"")</x:f>
        <x:v/>
      </x:c>
      <x:c r="L189" s="4"/>
      <x:c r="M189" s="3" t="str">
        <x:f>IF(OR(F189="",L189=""),"",F189+L189)</x:f>
        <x:v/>
      </x:c>
    </x:row>
    <x:row r="190" spans="1:13">
      <x:c r="A190" s="3">
        <x:f>'1_참가선수입력'!A190</x:f>
        <x:v>187</x:v>
      </x:c>
      <x:c r="B190" s="3">
        <x:f>'1_참가선수입력'!E190</x:f>
        <x:v>0</x:v>
      </x:c>
      <x:c r="C190" s="3">
        <x:f>'1_참가선수입력'!C190</x:f>
        <x:v>0</x:v>
      </x:c>
      <x:c r="D190" s="3">
        <x:f>'1_참가선수입력'!D190</x:f>
        <x:v>0</x:v>
      </x:c>
      <x:c r="E190" s="3">
        <x:f>'1_참가선수입력'!F190</x:f>
        <x:v>0</x:v>
      </x:c>
      <x:c r="F190" s="4"/>
      <x:c r="G190" s="4"/>
      <x:c r="H190" s="3" t="str">
        <x:f>IF(F190="","",F190+A190/10000)</x:f>
        <x:v/>
      </x:c>
      <x:c r="I190" s="3" t="str">
        <x:f>IF(F190="","",RANK(H190,$H$4:$H$213,1))</x:f>
        <x:v/>
      </x:c>
      <x:c r="J190" s="3" t="str">
        <x:f>IF(I190="","",IF(I190&lt;=104,"진출",""))</x:f>
        <x:v/>
      </x:c>
      <x:c r="K190" s="3" t="str">
        <x:f>IF(J190="진출",I190,"")</x:f>
        <x:v/>
      </x:c>
      <x:c r="L190" s="4"/>
      <x:c r="M190" s="3" t="str">
        <x:f>IF(OR(F190="",L190=""),"",F190+L190)</x:f>
        <x:v/>
      </x:c>
    </x:row>
    <x:row r="191" spans="1:13">
      <x:c r="A191" s="3">
        <x:f>'1_참가선수입력'!A191</x:f>
        <x:v>188</x:v>
      </x:c>
      <x:c r="B191" s="3">
        <x:f>'1_참가선수입력'!E191</x:f>
        <x:v>0</x:v>
      </x:c>
      <x:c r="C191" s="3">
        <x:f>'1_참가선수입력'!C191</x:f>
        <x:v>0</x:v>
      </x:c>
      <x:c r="D191" s="3">
        <x:f>'1_참가선수입력'!D191</x:f>
        <x:v>0</x:v>
      </x:c>
      <x:c r="E191" s="3">
        <x:f>'1_참가선수입력'!F191</x:f>
        <x:v>0</x:v>
      </x:c>
      <x:c r="F191" s="4"/>
      <x:c r="G191" s="4"/>
      <x:c r="H191" s="3" t="str">
        <x:f>IF(F191="","",F191+A191/10000)</x:f>
        <x:v/>
      </x:c>
      <x:c r="I191" s="3" t="str">
        <x:f>IF(F191="","",RANK(H191,$H$4:$H$213,1))</x:f>
        <x:v/>
      </x:c>
      <x:c r="J191" s="3" t="str">
        <x:f>IF(I191="","",IF(I191&lt;=104,"진출",""))</x:f>
        <x:v/>
      </x:c>
      <x:c r="K191" s="3" t="str">
        <x:f>IF(J191="진출",I191,"")</x:f>
        <x:v/>
      </x:c>
      <x:c r="L191" s="4"/>
      <x:c r="M191" s="3" t="str">
        <x:f>IF(OR(F191="",L191=""),"",F191+L191)</x:f>
        <x:v/>
      </x:c>
    </x:row>
    <x:row r="192" spans="1:13">
      <x:c r="A192" s="3">
        <x:f>'1_참가선수입력'!A192</x:f>
        <x:v>189</x:v>
      </x:c>
      <x:c r="B192" s="3">
        <x:f>'1_참가선수입력'!E192</x:f>
        <x:v>0</x:v>
      </x:c>
      <x:c r="C192" s="3">
        <x:f>'1_참가선수입력'!C192</x:f>
        <x:v>0</x:v>
      </x:c>
      <x:c r="D192" s="3">
        <x:f>'1_참가선수입력'!D192</x:f>
        <x:v>0</x:v>
      </x:c>
      <x:c r="E192" s="3">
        <x:f>'1_참가선수입력'!F192</x:f>
        <x:v>0</x:v>
      </x:c>
      <x:c r="F192" s="4"/>
      <x:c r="G192" s="4"/>
      <x:c r="H192" s="3" t="str">
        <x:f>IF(F192="","",F192+A192/10000)</x:f>
        <x:v/>
      </x:c>
      <x:c r="I192" s="3" t="str">
        <x:f>IF(F192="","",RANK(H192,$H$4:$H$213,1))</x:f>
        <x:v/>
      </x:c>
      <x:c r="J192" s="3" t="str">
        <x:f>IF(I192="","",IF(I192&lt;=104,"진출",""))</x:f>
        <x:v/>
      </x:c>
      <x:c r="K192" s="3" t="str">
        <x:f>IF(J192="진출",I192,"")</x:f>
        <x:v/>
      </x:c>
      <x:c r="L192" s="4"/>
      <x:c r="M192" s="3" t="str">
        <x:f>IF(OR(F192="",L192=""),"",F192+L192)</x:f>
        <x:v/>
      </x:c>
    </x:row>
    <x:row r="193" spans="1:13">
      <x:c r="A193" s="3">
        <x:f>'1_참가선수입력'!A193</x:f>
        <x:v>190</x:v>
      </x:c>
      <x:c r="B193" s="3">
        <x:f>'1_참가선수입력'!E193</x:f>
        <x:v>0</x:v>
      </x:c>
      <x:c r="C193" s="3">
        <x:f>'1_참가선수입력'!C193</x:f>
        <x:v>0</x:v>
      </x:c>
      <x:c r="D193" s="3">
        <x:f>'1_참가선수입력'!D193</x:f>
        <x:v>0</x:v>
      </x:c>
      <x:c r="E193" s="3">
        <x:f>'1_참가선수입력'!F193</x:f>
        <x:v>0</x:v>
      </x:c>
      <x:c r="F193" s="4"/>
      <x:c r="G193" s="4"/>
      <x:c r="H193" s="3" t="str">
        <x:f>IF(F193="","",F193+A193/10000)</x:f>
        <x:v/>
      </x:c>
      <x:c r="I193" s="3" t="str">
        <x:f>IF(F193="","",RANK(H193,$H$4:$H$213,1))</x:f>
        <x:v/>
      </x:c>
      <x:c r="J193" s="3" t="str">
        <x:f>IF(I193="","",IF(I193&lt;=104,"진출",""))</x:f>
        <x:v/>
      </x:c>
      <x:c r="K193" s="3" t="str">
        <x:f>IF(J193="진출",I193,"")</x:f>
        <x:v/>
      </x:c>
      <x:c r="L193" s="4"/>
      <x:c r="M193" s="3" t="str">
        <x:f>IF(OR(F193="",L193=""),"",F193+L193)</x:f>
        <x:v/>
      </x:c>
    </x:row>
    <x:row r="194" spans="1:13">
      <x:c r="A194" s="3">
        <x:f>'1_참가선수입력'!A194</x:f>
        <x:v>191</x:v>
      </x:c>
      <x:c r="B194" s="3">
        <x:f>'1_참가선수입력'!E194</x:f>
        <x:v>0</x:v>
      </x:c>
      <x:c r="C194" s="3">
        <x:f>'1_참가선수입력'!C194</x:f>
        <x:v>0</x:v>
      </x:c>
      <x:c r="D194" s="3">
        <x:f>'1_참가선수입력'!D194</x:f>
        <x:v>0</x:v>
      </x:c>
      <x:c r="E194" s="3">
        <x:f>'1_참가선수입력'!F194</x:f>
        <x:v>0</x:v>
      </x:c>
      <x:c r="F194" s="4"/>
      <x:c r="G194" s="4"/>
      <x:c r="H194" s="3" t="str">
        <x:f>IF(F194="","",F194+A194/10000)</x:f>
        <x:v/>
      </x:c>
      <x:c r="I194" s="3" t="str">
        <x:f>IF(F194="","",RANK(H194,$H$4:$H$213,1))</x:f>
        <x:v/>
      </x:c>
      <x:c r="J194" s="3" t="str">
        <x:f>IF(I194="","",IF(I194&lt;=104,"진출",""))</x:f>
        <x:v/>
      </x:c>
      <x:c r="K194" s="3" t="str">
        <x:f>IF(J194="진출",I194,"")</x:f>
        <x:v/>
      </x:c>
      <x:c r="L194" s="4"/>
      <x:c r="M194" s="3" t="str">
        <x:f>IF(OR(F194="",L194=""),"",F194+L194)</x:f>
        <x:v/>
      </x:c>
    </x:row>
    <x:row r="195" spans="1:13">
      <x:c r="A195" s="3">
        <x:f>'1_참가선수입력'!A195</x:f>
        <x:v>192</x:v>
      </x:c>
      <x:c r="B195" s="3">
        <x:f>'1_참가선수입력'!E195</x:f>
        <x:v>0</x:v>
      </x:c>
      <x:c r="C195" s="3">
        <x:f>'1_참가선수입력'!C195</x:f>
        <x:v>0</x:v>
      </x:c>
      <x:c r="D195" s="3">
        <x:f>'1_참가선수입력'!D195</x:f>
        <x:v>0</x:v>
      </x:c>
      <x:c r="E195" s="3">
        <x:f>'1_참가선수입력'!F195</x:f>
        <x:v>0</x:v>
      </x:c>
      <x:c r="F195" s="4"/>
      <x:c r="G195" s="4"/>
      <x:c r="H195" s="3" t="str">
        <x:f>IF(F195="","",F195+A195/10000)</x:f>
        <x:v/>
      </x:c>
      <x:c r="I195" s="3" t="str">
        <x:f>IF(F195="","",RANK(H195,$H$4:$H$213,1))</x:f>
        <x:v/>
      </x:c>
      <x:c r="J195" s="3" t="str">
        <x:f>IF(I195="","",IF(I195&lt;=104,"진출",""))</x:f>
        <x:v/>
      </x:c>
      <x:c r="K195" s="3" t="str">
        <x:f>IF(J195="진출",I195,"")</x:f>
        <x:v/>
      </x:c>
      <x:c r="L195" s="4"/>
      <x:c r="M195" s="3" t="str">
        <x:f>IF(OR(F195="",L195=""),"",F195+L195)</x:f>
        <x:v/>
      </x:c>
    </x:row>
    <x:row r="196" spans="1:13">
      <x:c r="A196" s="3">
        <x:f>'1_참가선수입력'!A196</x:f>
        <x:v>193</x:v>
      </x:c>
      <x:c r="B196" s="3">
        <x:f>'1_참가선수입력'!E196</x:f>
        <x:v>0</x:v>
      </x:c>
      <x:c r="C196" s="3">
        <x:f>'1_참가선수입력'!C196</x:f>
        <x:v>0</x:v>
      </x:c>
      <x:c r="D196" s="3">
        <x:f>'1_참가선수입력'!D196</x:f>
        <x:v>0</x:v>
      </x:c>
      <x:c r="E196" s="3">
        <x:f>'1_참가선수입력'!F196</x:f>
        <x:v>0</x:v>
      </x:c>
      <x:c r="F196" s="4"/>
      <x:c r="G196" s="4"/>
      <x:c r="H196" s="3" t="str">
        <x:f>IF(F196="","",F196+A196/10000)</x:f>
        <x:v/>
      </x:c>
      <x:c r="I196" s="3" t="str">
        <x:f>IF(F196="","",RANK(H196,$H$4:$H$213,1))</x:f>
        <x:v/>
      </x:c>
      <x:c r="J196" s="3" t="str">
        <x:f>IF(I196="","",IF(I196&lt;=104,"진출",""))</x:f>
        <x:v/>
      </x:c>
      <x:c r="K196" s="3" t="str">
        <x:f>IF(J196="진출",I196,"")</x:f>
        <x:v/>
      </x:c>
      <x:c r="L196" s="4"/>
      <x:c r="M196" s="3" t="str">
        <x:f>IF(OR(F196="",L196=""),"",F196+L196)</x:f>
        <x:v/>
      </x:c>
    </x:row>
    <x:row r="197" spans="1:13">
      <x:c r="A197" s="3">
        <x:f>'1_참가선수입력'!A197</x:f>
        <x:v>194</x:v>
      </x:c>
      <x:c r="B197" s="3">
        <x:f>'1_참가선수입력'!E197</x:f>
        <x:v>0</x:v>
      </x:c>
      <x:c r="C197" s="3">
        <x:f>'1_참가선수입력'!C197</x:f>
        <x:v>0</x:v>
      </x:c>
      <x:c r="D197" s="3">
        <x:f>'1_참가선수입력'!D197</x:f>
        <x:v>0</x:v>
      </x:c>
      <x:c r="E197" s="3">
        <x:f>'1_참가선수입력'!F197</x:f>
        <x:v>0</x:v>
      </x:c>
      <x:c r="F197" s="4"/>
      <x:c r="G197" s="4"/>
      <x:c r="H197" s="3" t="str">
        <x:f>IF(F197="","",F197+A197/10000)</x:f>
        <x:v/>
      </x:c>
      <x:c r="I197" s="3" t="str">
        <x:f>IF(F197="","",RANK(H197,$H$4:$H$213,1))</x:f>
        <x:v/>
      </x:c>
      <x:c r="J197" s="3" t="str">
        <x:f>IF(I197="","",IF(I197&lt;=104,"진출",""))</x:f>
        <x:v/>
      </x:c>
      <x:c r="K197" s="3" t="str">
        <x:f>IF(J197="진출",I197,"")</x:f>
        <x:v/>
      </x:c>
      <x:c r="L197" s="4"/>
      <x:c r="M197" s="3" t="str">
        <x:f>IF(OR(F197="",L197=""),"",F197+L197)</x:f>
        <x:v/>
      </x:c>
    </x:row>
    <x:row r="198" spans="1:13">
      <x:c r="A198" s="3">
        <x:f>'1_참가선수입력'!A198</x:f>
        <x:v>195</x:v>
      </x:c>
      <x:c r="B198" s="3">
        <x:f>'1_참가선수입력'!E198</x:f>
        <x:v>0</x:v>
      </x:c>
      <x:c r="C198" s="3">
        <x:f>'1_참가선수입력'!C198</x:f>
        <x:v>0</x:v>
      </x:c>
      <x:c r="D198" s="3">
        <x:f>'1_참가선수입력'!D198</x:f>
        <x:v>0</x:v>
      </x:c>
      <x:c r="E198" s="3">
        <x:f>'1_참가선수입력'!F198</x:f>
        <x:v>0</x:v>
      </x:c>
      <x:c r="F198" s="4"/>
      <x:c r="G198" s="4"/>
      <x:c r="H198" s="3" t="str">
        <x:f>IF(F198="","",F198+A198/10000)</x:f>
        <x:v/>
      </x:c>
      <x:c r="I198" s="3" t="str">
        <x:f>IF(F198="","",RANK(H198,$H$4:$H$213,1))</x:f>
        <x:v/>
      </x:c>
      <x:c r="J198" s="3" t="str">
        <x:f>IF(I198="","",IF(I198&lt;=104,"진출",""))</x:f>
        <x:v/>
      </x:c>
      <x:c r="K198" s="3" t="str">
        <x:f>IF(J198="진출",I198,"")</x:f>
        <x:v/>
      </x:c>
      <x:c r="L198" s="4"/>
      <x:c r="M198" s="3" t="str">
        <x:f>IF(OR(F198="",L198=""),"",F198+L198)</x:f>
        <x:v/>
      </x:c>
    </x:row>
    <x:row r="199" spans="1:13">
      <x:c r="A199" s="3">
        <x:f>'1_참가선수입력'!A199</x:f>
        <x:v>196</x:v>
      </x:c>
      <x:c r="B199" s="3">
        <x:f>'1_참가선수입력'!E199</x:f>
        <x:v>0</x:v>
      </x:c>
      <x:c r="C199" s="3">
        <x:f>'1_참가선수입력'!C199</x:f>
        <x:v>0</x:v>
      </x:c>
      <x:c r="D199" s="3">
        <x:f>'1_참가선수입력'!D199</x:f>
        <x:v>0</x:v>
      </x:c>
      <x:c r="E199" s="3">
        <x:f>'1_참가선수입력'!F199</x:f>
        <x:v>0</x:v>
      </x:c>
      <x:c r="F199" s="4"/>
      <x:c r="G199" s="4"/>
      <x:c r="H199" s="3" t="str">
        <x:f>IF(F199="","",F199+A199/10000)</x:f>
        <x:v/>
      </x:c>
      <x:c r="I199" s="3" t="str">
        <x:f>IF(F199="","",RANK(H199,$H$4:$H$213,1))</x:f>
        <x:v/>
      </x:c>
      <x:c r="J199" s="3" t="str">
        <x:f>IF(I199="","",IF(I199&lt;=104,"진출",""))</x:f>
        <x:v/>
      </x:c>
      <x:c r="K199" s="3" t="str">
        <x:f>IF(J199="진출",I199,"")</x:f>
        <x:v/>
      </x:c>
      <x:c r="L199" s="4"/>
      <x:c r="M199" s="3" t="str">
        <x:f>IF(OR(F199="",L199=""),"",F199+L199)</x:f>
        <x:v/>
      </x:c>
    </x:row>
    <x:row r="200" spans="1:13">
      <x:c r="A200" s="3">
        <x:f>'1_참가선수입력'!A200</x:f>
        <x:v>197</x:v>
      </x:c>
      <x:c r="B200" s="3">
        <x:f>'1_참가선수입력'!E200</x:f>
        <x:v>0</x:v>
      </x:c>
      <x:c r="C200" s="3">
        <x:f>'1_참가선수입력'!C200</x:f>
        <x:v>0</x:v>
      </x:c>
      <x:c r="D200" s="3">
        <x:f>'1_참가선수입력'!D200</x:f>
        <x:v>0</x:v>
      </x:c>
      <x:c r="E200" s="3">
        <x:f>'1_참가선수입력'!F200</x:f>
        <x:v>0</x:v>
      </x:c>
      <x:c r="F200" s="4"/>
      <x:c r="G200" s="4"/>
      <x:c r="H200" s="3" t="str">
        <x:f>IF(F200="","",F200+A200/10000)</x:f>
        <x:v/>
      </x:c>
      <x:c r="I200" s="3" t="str">
        <x:f>IF(F200="","",RANK(H200,$H$4:$H$213,1))</x:f>
        <x:v/>
      </x:c>
      <x:c r="J200" s="3" t="str">
        <x:f>IF(I200="","",IF(I200&lt;=104,"진출",""))</x:f>
        <x:v/>
      </x:c>
      <x:c r="K200" s="3" t="str">
        <x:f>IF(J200="진출",I200,"")</x:f>
        <x:v/>
      </x:c>
      <x:c r="L200" s="4"/>
      <x:c r="M200" s="3" t="str">
        <x:f>IF(OR(F200="",L200=""),"",F200+L200)</x:f>
        <x:v/>
      </x:c>
    </x:row>
    <x:row r="201" spans="1:13">
      <x:c r="A201" s="3">
        <x:f>'1_참가선수입력'!A201</x:f>
        <x:v>198</x:v>
      </x:c>
      <x:c r="B201" s="3">
        <x:f>'1_참가선수입력'!E201</x:f>
        <x:v>0</x:v>
      </x:c>
      <x:c r="C201" s="3">
        <x:f>'1_참가선수입력'!C201</x:f>
        <x:v>0</x:v>
      </x:c>
      <x:c r="D201" s="3">
        <x:f>'1_참가선수입력'!D201</x:f>
        <x:v>0</x:v>
      </x:c>
      <x:c r="E201" s="3">
        <x:f>'1_참가선수입력'!F201</x:f>
        <x:v>0</x:v>
      </x:c>
      <x:c r="F201" s="4"/>
      <x:c r="G201" s="4"/>
      <x:c r="H201" s="3" t="str">
        <x:f>IF(F201="","",F201+A201/10000)</x:f>
        <x:v/>
      </x:c>
      <x:c r="I201" s="3" t="str">
        <x:f>IF(F201="","",RANK(H201,$H$4:$H$213,1))</x:f>
        <x:v/>
      </x:c>
      <x:c r="J201" s="3" t="str">
        <x:f>IF(I201="","",IF(I201&lt;=104,"진출",""))</x:f>
        <x:v/>
      </x:c>
      <x:c r="K201" s="3" t="str">
        <x:f>IF(J201="진출",I201,"")</x:f>
        <x:v/>
      </x:c>
      <x:c r="L201" s="4"/>
      <x:c r="M201" s="3" t="str">
        <x:f>IF(OR(F201="",L201=""),"",F201+L201)</x:f>
        <x:v/>
      </x:c>
    </x:row>
    <x:row r="202" spans="1:13">
      <x:c r="A202" s="3">
        <x:f>'1_참가선수입력'!A202</x:f>
        <x:v>199</x:v>
      </x:c>
      <x:c r="B202" s="3">
        <x:f>'1_참가선수입력'!E202</x:f>
        <x:v>0</x:v>
      </x:c>
      <x:c r="C202" s="3">
        <x:f>'1_참가선수입력'!C202</x:f>
        <x:v>0</x:v>
      </x:c>
      <x:c r="D202" s="3">
        <x:f>'1_참가선수입력'!D202</x:f>
        <x:v>0</x:v>
      </x:c>
      <x:c r="E202" s="3">
        <x:f>'1_참가선수입력'!F202</x:f>
        <x:v>0</x:v>
      </x:c>
      <x:c r="F202" s="4"/>
      <x:c r="G202" s="4"/>
      <x:c r="H202" s="3" t="str">
        <x:f>IF(F202="","",F202+A202/10000)</x:f>
        <x:v/>
      </x:c>
      <x:c r="I202" s="3" t="str">
        <x:f>IF(F202="","",RANK(H202,$H$4:$H$213,1))</x:f>
        <x:v/>
      </x:c>
      <x:c r="J202" s="3" t="str">
        <x:f>IF(I202="","",IF(I202&lt;=104,"진출",""))</x:f>
        <x:v/>
      </x:c>
      <x:c r="K202" s="3" t="str">
        <x:f>IF(J202="진출",I202,"")</x:f>
        <x:v/>
      </x:c>
      <x:c r="L202" s="4"/>
      <x:c r="M202" s="3" t="str">
        <x:f>IF(OR(F202="",L202=""),"",F202+L202)</x:f>
        <x:v/>
      </x:c>
    </x:row>
    <x:row r="203" spans="1:13">
      <x:c r="A203" s="3">
        <x:f>'1_참가선수입력'!A203</x:f>
        <x:v>200</x:v>
      </x:c>
      <x:c r="B203" s="3">
        <x:f>'1_참가선수입력'!E203</x:f>
        <x:v>0</x:v>
      </x:c>
      <x:c r="C203" s="3">
        <x:f>'1_참가선수입력'!C203</x:f>
        <x:v>0</x:v>
      </x:c>
      <x:c r="D203" s="3">
        <x:f>'1_참가선수입력'!D203</x:f>
        <x:v>0</x:v>
      </x:c>
      <x:c r="E203" s="3">
        <x:f>'1_참가선수입력'!F203</x:f>
        <x:v>0</x:v>
      </x:c>
      <x:c r="F203" s="4"/>
      <x:c r="G203" s="4"/>
      <x:c r="H203" s="3" t="str">
        <x:f>IF(F203="","",F203+A203/10000)</x:f>
        <x:v/>
      </x:c>
      <x:c r="I203" s="3" t="str">
        <x:f>IF(F203="","",RANK(H203,$H$4:$H$213,1))</x:f>
        <x:v/>
      </x:c>
      <x:c r="J203" s="3" t="str">
        <x:f>IF(I203="","",IF(I203&lt;=104,"진출",""))</x:f>
        <x:v/>
      </x:c>
      <x:c r="K203" s="3" t="str">
        <x:f>IF(J203="진출",I203,"")</x:f>
        <x:v/>
      </x:c>
      <x:c r="L203" s="4"/>
      <x:c r="M203" s="3" t="str">
        <x:f>IF(OR(F203="",L203=""),"",F203+L203)</x:f>
        <x:v/>
      </x:c>
    </x:row>
    <x:row r="204" spans="1:13">
      <x:c r="A204" s="3">
        <x:f>'1_참가선수입력'!A204</x:f>
        <x:v>201</x:v>
      </x:c>
      <x:c r="B204" s="3">
        <x:f>'1_참가선수입력'!E204</x:f>
        <x:v>0</x:v>
      </x:c>
      <x:c r="C204" s="3">
        <x:f>'1_참가선수입력'!C204</x:f>
        <x:v>0</x:v>
      </x:c>
      <x:c r="D204" s="3">
        <x:f>'1_참가선수입력'!D204</x:f>
        <x:v>0</x:v>
      </x:c>
      <x:c r="E204" s="3">
        <x:f>'1_참가선수입력'!F204</x:f>
        <x:v>0</x:v>
      </x:c>
      <x:c r="F204" s="4"/>
      <x:c r="G204" s="4"/>
      <x:c r="H204" s="3" t="str">
        <x:f>IF(F204="","",F204+A204/10000)</x:f>
        <x:v/>
      </x:c>
      <x:c r="I204" s="3" t="str">
        <x:f>IF(F204="","",RANK(H204,$H$4:$H$213,1))</x:f>
        <x:v/>
      </x:c>
      <x:c r="J204" s="3" t="str">
        <x:f>IF(I204="","",IF(I204&lt;=104,"진출",""))</x:f>
        <x:v/>
      </x:c>
      <x:c r="K204" s="3" t="str">
        <x:f>IF(J204="진출",I204,"")</x:f>
        <x:v/>
      </x:c>
      <x:c r="L204" s="4"/>
      <x:c r="M204" s="3" t="str">
        <x:f>IF(OR(F204="",L204=""),"",F204+L204)</x:f>
        <x:v/>
      </x:c>
    </x:row>
    <x:row r="205" spans="1:13">
      <x:c r="A205" s="3">
        <x:f>'1_참가선수입력'!A205</x:f>
        <x:v>202</x:v>
      </x:c>
      <x:c r="B205" s="3">
        <x:f>'1_참가선수입력'!E205</x:f>
        <x:v>0</x:v>
      </x:c>
      <x:c r="C205" s="3">
        <x:f>'1_참가선수입력'!C205</x:f>
        <x:v>0</x:v>
      </x:c>
      <x:c r="D205" s="3">
        <x:f>'1_참가선수입력'!D205</x:f>
        <x:v>0</x:v>
      </x:c>
      <x:c r="E205" s="3">
        <x:f>'1_참가선수입력'!F205</x:f>
        <x:v>0</x:v>
      </x:c>
      <x:c r="F205" s="4"/>
      <x:c r="G205" s="4"/>
      <x:c r="H205" s="3" t="str">
        <x:f>IF(F205="","",F205+A205/10000)</x:f>
        <x:v/>
      </x:c>
      <x:c r="I205" s="3" t="str">
        <x:f>IF(F205="","",RANK(H205,$H$4:$H$213,1))</x:f>
        <x:v/>
      </x:c>
      <x:c r="J205" s="3" t="str">
        <x:f>IF(I205="","",IF(I205&lt;=104,"진출",""))</x:f>
        <x:v/>
      </x:c>
      <x:c r="K205" s="3" t="str">
        <x:f>IF(J205="진출",I205,"")</x:f>
        <x:v/>
      </x:c>
      <x:c r="L205" s="4"/>
      <x:c r="M205" s="3" t="str">
        <x:f>IF(OR(F205="",L205=""),"",F205+L205)</x:f>
        <x:v/>
      </x:c>
    </x:row>
    <x:row r="206" spans="1:13">
      <x:c r="A206" s="3">
        <x:f>'1_참가선수입력'!A206</x:f>
        <x:v>203</x:v>
      </x:c>
      <x:c r="B206" s="3">
        <x:f>'1_참가선수입력'!E206</x:f>
        <x:v>0</x:v>
      </x:c>
      <x:c r="C206" s="3">
        <x:f>'1_참가선수입력'!C206</x:f>
        <x:v>0</x:v>
      </x:c>
      <x:c r="D206" s="3">
        <x:f>'1_참가선수입력'!D206</x:f>
        <x:v>0</x:v>
      </x:c>
      <x:c r="E206" s="3">
        <x:f>'1_참가선수입력'!F206</x:f>
        <x:v>0</x:v>
      </x:c>
      <x:c r="F206" s="4"/>
      <x:c r="G206" s="4"/>
      <x:c r="H206" s="3" t="str">
        <x:f>IF(F206="","",F206+A206/10000)</x:f>
        <x:v/>
      </x:c>
      <x:c r="I206" s="3" t="str">
        <x:f>IF(F206="","",RANK(H206,$H$4:$H$213,1))</x:f>
        <x:v/>
      </x:c>
      <x:c r="J206" s="3" t="str">
        <x:f>IF(I206="","",IF(I206&lt;=104,"진출",""))</x:f>
        <x:v/>
      </x:c>
      <x:c r="K206" s="3" t="str">
        <x:f>IF(J206="진출",I206,"")</x:f>
        <x:v/>
      </x:c>
      <x:c r="L206" s="4"/>
      <x:c r="M206" s="3" t="str">
        <x:f>IF(OR(F206="",L206=""),"",F206+L206)</x:f>
        <x:v/>
      </x:c>
    </x:row>
    <x:row r="207" spans="1:13">
      <x:c r="A207" s="3">
        <x:f>'1_참가선수입력'!A207</x:f>
        <x:v>204</x:v>
      </x:c>
      <x:c r="B207" s="3">
        <x:f>'1_참가선수입력'!E207</x:f>
        <x:v>0</x:v>
      </x:c>
      <x:c r="C207" s="3">
        <x:f>'1_참가선수입력'!C207</x:f>
        <x:v>0</x:v>
      </x:c>
      <x:c r="D207" s="3">
        <x:f>'1_참가선수입력'!D207</x:f>
        <x:v>0</x:v>
      </x:c>
      <x:c r="E207" s="3">
        <x:f>'1_참가선수입력'!F207</x:f>
        <x:v>0</x:v>
      </x:c>
      <x:c r="F207" s="4"/>
      <x:c r="G207" s="4"/>
      <x:c r="H207" s="3" t="str">
        <x:f>IF(F207="","",F207+A207/10000)</x:f>
        <x:v/>
      </x:c>
      <x:c r="I207" s="3" t="str">
        <x:f>IF(F207="","",RANK(H207,$H$4:$H$213,1))</x:f>
        <x:v/>
      </x:c>
      <x:c r="J207" s="3" t="str">
        <x:f>IF(I207="","",IF(I207&lt;=104,"진출",""))</x:f>
        <x:v/>
      </x:c>
      <x:c r="K207" s="3" t="str">
        <x:f>IF(J207="진출",I207,"")</x:f>
        <x:v/>
      </x:c>
      <x:c r="L207" s="4"/>
      <x:c r="M207" s="3" t="str">
        <x:f>IF(OR(F207="",L207=""),"",F207+L207)</x:f>
        <x:v/>
      </x:c>
    </x:row>
    <x:row r="208" spans="1:13">
      <x:c r="A208" s="3">
        <x:f>'1_참가선수입력'!A208</x:f>
        <x:v>205</x:v>
      </x:c>
      <x:c r="B208" s="3">
        <x:f>'1_참가선수입력'!E208</x:f>
        <x:v>0</x:v>
      </x:c>
      <x:c r="C208" s="3">
        <x:f>'1_참가선수입력'!C208</x:f>
        <x:v>0</x:v>
      </x:c>
      <x:c r="D208" s="3">
        <x:f>'1_참가선수입력'!D208</x:f>
        <x:v>0</x:v>
      </x:c>
      <x:c r="E208" s="3">
        <x:f>'1_참가선수입력'!F208</x:f>
        <x:v>0</x:v>
      </x:c>
      <x:c r="F208" s="4"/>
      <x:c r="G208" s="4"/>
      <x:c r="H208" s="3" t="str">
        <x:f>IF(F208="","",F208+A208/10000)</x:f>
        <x:v/>
      </x:c>
      <x:c r="I208" s="3" t="str">
        <x:f>IF(F208="","",RANK(H208,$H$4:$H$213,1))</x:f>
        <x:v/>
      </x:c>
      <x:c r="J208" s="3" t="str">
        <x:f>IF(I208="","",IF(I208&lt;=104,"진출",""))</x:f>
        <x:v/>
      </x:c>
      <x:c r="K208" s="3" t="str">
        <x:f>IF(J208="진출",I208,"")</x:f>
        <x:v/>
      </x:c>
      <x:c r="L208" s="4"/>
      <x:c r="M208" s="3" t="str">
        <x:f>IF(OR(F208="",L208=""),"",F208+L208)</x:f>
        <x:v/>
      </x:c>
    </x:row>
    <x:row r="209" spans="1:13">
      <x:c r="A209" s="3">
        <x:f>'1_참가선수입력'!A209</x:f>
        <x:v>206</x:v>
      </x:c>
      <x:c r="B209" s="3">
        <x:f>'1_참가선수입력'!E209</x:f>
        <x:v>0</x:v>
      </x:c>
      <x:c r="C209" s="3">
        <x:f>'1_참가선수입력'!C209</x:f>
        <x:v>0</x:v>
      </x:c>
      <x:c r="D209" s="3">
        <x:f>'1_참가선수입력'!D209</x:f>
        <x:v>0</x:v>
      </x:c>
      <x:c r="E209" s="3">
        <x:f>'1_참가선수입력'!F209</x:f>
        <x:v>0</x:v>
      </x:c>
      <x:c r="F209" s="4"/>
      <x:c r="G209" s="4"/>
      <x:c r="H209" s="3" t="str">
        <x:f>IF(F209="","",F209+A209/10000)</x:f>
        <x:v/>
      </x:c>
      <x:c r="I209" s="3" t="str">
        <x:f>IF(F209="","",RANK(H209,$H$4:$H$213,1))</x:f>
        <x:v/>
      </x:c>
      <x:c r="J209" s="3" t="str">
        <x:f>IF(I209="","",IF(I209&lt;=104,"진출",""))</x:f>
        <x:v/>
      </x:c>
      <x:c r="K209" s="3" t="str">
        <x:f>IF(J209="진출",I209,"")</x:f>
        <x:v/>
      </x:c>
      <x:c r="L209" s="4"/>
      <x:c r="M209" s="3" t="str">
        <x:f>IF(OR(F209="",L209=""),"",F209+L209)</x:f>
        <x:v/>
      </x:c>
    </x:row>
    <x:row r="210" spans="1:13">
      <x:c r="A210" s="3">
        <x:f>'1_참가선수입력'!A210</x:f>
        <x:v>207</x:v>
      </x:c>
      <x:c r="B210" s="3">
        <x:f>'1_참가선수입력'!E210</x:f>
        <x:v>0</x:v>
      </x:c>
      <x:c r="C210" s="3">
        <x:f>'1_참가선수입력'!C210</x:f>
        <x:v>0</x:v>
      </x:c>
      <x:c r="D210" s="3">
        <x:f>'1_참가선수입력'!D210</x:f>
        <x:v>0</x:v>
      </x:c>
      <x:c r="E210" s="3">
        <x:f>'1_참가선수입력'!F210</x:f>
        <x:v>0</x:v>
      </x:c>
      <x:c r="F210" s="4"/>
      <x:c r="G210" s="4"/>
      <x:c r="H210" s="3" t="str">
        <x:f>IF(F210="","",F210+A210/10000)</x:f>
        <x:v/>
      </x:c>
      <x:c r="I210" s="3" t="str">
        <x:f>IF(F210="","",RANK(H210,$H$4:$H$213,1))</x:f>
        <x:v/>
      </x:c>
      <x:c r="J210" s="3" t="str">
        <x:f>IF(I210="","",IF(I210&lt;=104,"진출",""))</x:f>
        <x:v/>
      </x:c>
      <x:c r="K210" s="3" t="str">
        <x:f>IF(J210="진출",I210,"")</x:f>
        <x:v/>
      </x:c>
      <x:c r="L210" s="4"/>
      <x:c r="M210" s="3" t="str">
        <x:f>IF(OR(F210="",L210=""),"",F210+L210)</x:f>
        <x:v/>
      </x:c>
    </x:row>
    <x:row r="211" spans="1:13">
      <x:c r="A211" s="3">
        <x:f>'1_참가선수입력'!A211</x:f>
        <x:v>208</x:v>
      </x:c>
      <x:c r="B211" s="3">
        <x:f>'1_참가선수입력'!E211</x:f>
        <x:v>0</x:v>
      </x:c>
      <x:c r="C211" s="3">
        <x:f>'1_참가선수입력'!C211</x:f>
        <x:v>0</x:v>
      </x:c>
      <x:c r="D211" s="3">
        <x:f>'1_참가선수입력'!D211</x:f>
        <x:v>0</x:v>
      </x:c>
      <x:c r="E211" s="3">
        <x:f>'1_참가선수입력'!F211</x:f>
        <x:v>0</x:v>
      </x:c>
      <x:c r="F211" s="4"/>
      <x:c r="G211" s="4"/>
      <x:c r="H211" s="3" t="str">
        <x:f>IF(F211="","",F211+A211/10000)</x:f>
        <x:v/>
      </x:c>
      <x:c r="I211" s="3" t="str">
        <x:f>IF(F211="","",RANK(H211,$H$4:$H$213,1))</x:f>
        <x:v/>
      </x:c>
      <x:c r="J211" s="3" t="str">
        <x:f>IF(I211="","",IF(I211&lt;=104,"진출",""))</x:f>
        <x:v/>
      </x:c>
      <x:c r="K211" s="3" t="str">
        <x:f>IF(J211="진출",I211,"")</x:f>
        <x:v/>
      </x:c>
      <x:c r="L211" s="4"/>
      <x:c r="M211" s="3" t="str">
        <x:f>IF(OR(F211="",L211=""),"",F211+L211)</x:f>
        <x:v/>
      </x:c>
    </x:row>
    <x:row r="212" spans="1:13">
      <x:c r="A212" s="3">
        <x:f>'1_참가선수입력'!A212</x:f>
        <x:v>209</x:v>
      </x:c>
      <x:c r="B212" s="3">
        <x:f>'1_참가선수입력'!E212</x:f>
        <x:v>0</x:v>
      </x:c>
      <x:c r="C212" s="3">
        <x:f>'1_참가선수입력'!C212</x:f>
        <x:v>0</x:v>
      </x:c>
      <x:c r="D212" s="3">
        <x:f>'1_참가선수입력'!D212</x:f>
        <x:v>0</x:v>
      </x:c>
      <x:c r="E212" s="3">
        <x:f>'1_참가선수입력'!F212</x:f>
        <x:v>0</x:v>
      </x:c>
      <x:c r="F212" s="4"/>
      <x:c r="G212" s="4"/>
      <x:c r="H212" s="3" t="str">
        <x:f>IF(F212="","",F212+A212/10000)</x:f>
        <x:v/>
      </x:c>
      <x:c r="I212" s="3" t="str">
        <x:f>IF(F212="","",RANK(H212,$H$4:$H$213,1))</x:f>
        <x:v/>
      </x:c>
      <x:c r="J212" s="3" t="str">
        <x:f>IF(I212="","",IF(I212&lt;=104,"진출",""))</x:f>
        <x:v/>
      </x:c>
      <x:c r="K212" s="3" t="str">
        <x:f>IF(J212="진출",I212,"")</x:f>
        <x:v/>
      </x:c>
      <x:c r="L212" s="4"/>
      <x:c r="M212" s="3" t="str">
        <x:f>IF(OR(F212="",L212=""),"",F212+L212)</x:f>
        <x:v/>
      </x:c>
    </x:row>
    <x:row r="213" spans="1:13">
      <x:c r="A213" s="3">
        <x:f>'1_참가선수입력'!A213</x:f>
        <x:v>210</x:v>
      </x:c>
      <x:c r="B213" s="3">
        <x:f>'1_참가선수입력'!E213</x:f>
        <x:v>0</x:v>
      </x:c>
      <x:c r="C213" s="3">
        <x:f>'1_참가선수입력'!C213</x:f>
        <x:v>0</x:v>
      </x:c>
      <x:c r="D213" s="3">
        <x:f>'1_참가선수입력'!D213</x:f>
        <x:v>0</x:v>
      </x:c>
      <x:c r="E213" s="3">
        <x:f>'1_참가선수입력'!F213</x:f>
        <x:v>0</x:v>
      </x:c>
      <x:c r="F213" s="4"/>
      <x:c r="G213" s="4"/>
      <x:c r="H213" s="3" t="str">
        <x:f>IF(F213="","",F213+A213/10000)</x:f>
        <x:v/>
      </x:c>
      <x:c r="I213" s="3" t="str">
        <x:f>IF(F213="","",RANK(H213,$H$4:$H$213,1))</x:f>
        <x:v/>
      </x:c>
      <x:c r="J213" s="3" t="str">
        <x:f>IF(I213="","",IF(I213&lt;=104,"진출",""))</x:f>
        <x:v/>
      </x:c>
      <x:c r="K213" s="3" t="str">
        <x:f>IF(J213="진출",I213,"")</x:f>
        <x:v/>
      </x:c>
      <x:c r="L213" s="4"/>
      <x:c r="M213" s="3" t="str">
        <x:f>IF(OR(F213="",L213=""),"",F213+L213)</x:f>
        <x:v/>
      </x:c>
    </x:row>
  </x:sheetData>
  <x:autoFilter ref="A3:M213"/>
  <x:mergeCells count="1">
    <x:mergeCell ref="A1:M1"/>
  </x:mergeCells>
  <x:conditionalFormatting sqref="J4:J213">
    <x:cfRule type="expression" dxfId="0" priority="1">
      <x:formula>J4="진출"</x:formula>
    </x:cfRule>
  </x:conditionalFormatting>
  <x:pageMargins left="0.30000001192092896" right="0.30000001192092896" top="0.5" bottom="0.5" header="0.5" footer="0.5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 filterMode="1"/>
  <x:dimension ref="A1:T107"/>
  <x:sheetViews>
    <x:sheetView showGridLines="0" topLeftCell="A1" zoomScaleNormal="100" zoomScaleSheetLayoutView="75" workbookViewId="0">
      <x:pane xSplit="0" ySplit="3" topLeftCell="A10" activePane="bottomLeft" state="frozen"/>
      <x:selection pane="bottomLeft" activeCell="A1" activeCellId="0" sqref="A1:A1"/>
    </x:sheetView>
  </x:sheetViews>
  <x:sheetFormatPr defaultColWidth="8.796875" defaultRowHeight="16.399999999999999"/>
  <x:cols>
    <x:col min="1" max="1" width="6" customWidth="1"/>
    <x:col min="2" max="3" width="12" customWidth="1"/>
    <x:col min="4" max="4" width="8" customWidth="1"/>
    <x:col min="5" max="5" width="12" customWidth="1"/>
    <x:col min="6" max="9" width="14" customWidth="1"/>
    <x:col min="10" max="11" width="12" customWidth="1"/>
    <x:col min="12" max="12" width="20" customWidth="1"/>
    <x:col min="14" max="15" width="12" customWidth="1"/>
    <x:col min="17" max="17" width="8" customWidth="1"/>
    <x:col min="18" max="18" width="14" customWidth="1"/>
    <x:col min="19" max="20" width="8" customWidth="1"/>
  </x:cols>
  <x:sheetData>
    <x:row r="1" spans="1:12" ht="28" customHeight="1">
      <x:c r="A1" s="14" t="s">
        <x:v>128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</x:row>
    <x:row r="2" spans="14:15">
      <x:c r="N2" s="5" t="s">
        <x:v>68</x:v>
      </x:c>
      <x:c r="O2" s="6" t="s">
        <x:v>17</x:v>
      </x:c>
    </x:row>
    <x:row r="3" spans="1:20">
      <x:c r="A3" s="2" t="s">
        <x:v>138</x:v>
      </x:c>
      <x:c r="B3" s="2" t="s">
        <x:v>147</x:v>
      </x:c>
      <x:c r="C3" s="2" t="s">
        <x:v>140</x:v>
      </x:c>
      <x:c r="D3" s="2" t="s">
        <x:v>145</x:v>
      </x:c>
      <x:c r="E3" s="2" t="s">
        <x:v>18</x:v>
      </x:c>
      <x:c r="F3" s="2" t="s">
        <x:v>143</x:v>
      </x:c>
      <x:c r="G3" s="2" t="s">
        <x:v>146</x:v>
      </x:c>
      <x:c r="H3" s="2" t="s">
        <x:v>144</x:v>
      </x:c>
      <x:c r="I3" s="2" t="s">
        <x:v>142</x:v>
      </x:c>
      <x:c r="J3" s="2" t="s">
        <x:v>101</x:v>
      </x:c>
      <x:c r="K3" s="2" t="s">
        <x:v>19</x:v>
      </x:c>
      <x:c r="L3" s="2" t="s">
        <x:v>67</x:v>
      </x:c>
      <x:c r="N3" s="5" t="s">
        <x:v>14</x:v>
      </x:c>
      <x:c r="O3" s="8">
        <x:v>8</x:v>
      </x:c>
      <x:c r="Q3" s="9" t="s">
        <x:v>52</x:v>
      </x:c>
      <x:c r="R3" s="9" t="s">
        <x:v>54</x:v>
      </x:c>
      <x:c r="S3" s="9" t="s">
        <x:v>2</x:v>
      </x:c>
      <x:c r="T3" s="9" t="s">
        <x:v>53</x:v>
      </x:c>
    </x:row>
    <x:row r="4" spans="1:20">
      <x:c r="A4" s="3">
        <x:v>1</x:v>
      </x:c>
      <x:c r="B4" s="4" t="s">
        <x:v>88</x:v>
      </x:c>
      <x:c r="C4" s="4" t="s">
        <x:v>69</x:v>
      </x:c>
      <x:c r="D4" s="4" t="s">
        <x:v>51</x:v>
      </x:c>
      <x:c r="E4" s="7">
        <x:f>$O$2+(A4-1)*TIME(0,$O$3,0)</x:f>
        <x:v>0.47916666666666669</x:v>
      </x:c>
      <x:c r="F4" s="3" t="str">
        <x:f>IF($R$4&lt;&gt;"",$R$4,"")</x:f>
        <x:v/>
      </x:c>
      <x:c r="G4" s="3" t="str">
        <x:f>IF($R$5&lt;&gt;"",$R$5,"")</x:f>
        <x:v/>
      </x:c>
      <x:c r="H4" s="3" t="str">
        <x:f>IF($R$6&lt;&gt;"",$R$6,"")</x:f>
        <x:v/>
      </x:c>
      <x:c r="I4" s="3" t="str">
        <x:f>IF($R$7&lt;&gt;"",$R$7,"")</x:f>
        <x:v/>
      </x:c>
      <x:c r="J4" s="3" t="s">
        <x:v>70</x:v>
      </x:c>
      <x:c r="K4" s="4"/>
      <x:c r="L4" s="4"/>
      <x:c r="Q4" s="10">
        <x:v>1</x:v>
      </x:c>
      <x:c r="R4" s="10" t="str">
        <x:f>IFERROR(INDEX('4_스코어입력'!$B$4:$B$213,MATCH(Q4,'4_스코어입력'!$I$4:$I$213,0)),"")</x:f>
        <x:v/>
      </x:c>
      <x:c r="S4" s="10" t="str">
        <x:f>IFERROR(INDEX('4_스코어입력'!$F$4:$F$213,MATCH(Q4,'4_스코어입력'!$I$4:$I$213,0)),"")</x:f>
        <x:v/>
      </x:c>
      <x:c r="T4" s="10" t="str">
        <x:f>IFERROR(INDEX('4_스코어입력'!$A$4:$A$213,MATCH(Q4,'4_스코어입력'!$I$4:$I$213,0)),"")</x:f>
        <x:v/>
      </x:c>
    </x:row>
    <x:row r="5" spans="1:20">
      <x:c r="A5" s="3">
        <x:v>2</x:v>
      </x:c>
      <x:c r="B5" s="4" t="s">
        <x:v>88</x:v>
      </x:c>
      <x:c r="C5" s="4" t="s">
        <x:v>69</x:v>
      </x:c>
      <x:c r="D5" s="4" t="s">
        <x:v>51</x:v>
      </x:c>
      <x:c r="E5" s="7">
        <x:f>$O$2+(A5-1)*TIME(0,$O$3,0)</x:f>
        <x:v>0.48472222222222222</x:v>
      </x:c>
      <x:c r="F5" s="3" t="str">
        <x:f>IF($R$8&lt;&gt;"",$R$8,"")</x:f>
        <x:v/>
      </x:c>
      <x:c r="G5" s="3" t="str">
        <x:f>IF($R$9&lt;&gt;"",$R$9,"")</x:f>
        <x:v/>
      </x:c>
      <x:c r="H5" s="3" t="str">
        <x:f>IF($R$10&lt;&gt;"",$R$10,"")</x:f>
        <x:v/>
      </x:c>
      <x:c r="I5" s="3" t="str">
        <x:f>IF($R$11&lt;&gt;"",$R$11,"")</x:f>
        <x:v/>
      </x:c>
      <x:c r="J5" s="3" t="s">
        <x:v>89</x:v>
      </x:c>
      <x:c r="K5" s="4"/>
      <x:c r="L5" s="4"/>
      <x:c r="Q5" s="10">
        <x:v>2</x:v>
      </x:c>
      <x:c r="R5" s="10" t="str">
        <x:f>IFERROR(INDEX('4_스코어입력'!$B$4:$B$213,MATCH(Q5,'4_스코어입력'!$I$4:$I$213,0)),"")</x:f>
        <x:v/>
      </x:c>
      <x:c r="S5" s="10" t="str">
        <x:f>IFERROR(INDEX('4_스코어입력'!$F$4:$F$213,MATCH(Q5,'4_스코어입력'!$I$4:$I$213,0)),"")</x:f>
        <x:v/>
      </x:c>
      <x:c r="T5" s="10" t="str">
        <x:f>IFERROR(INDEX('4_스코어입력'!$A$4:$A$213,MATCH(Q5,'4_스코어입력'!$I$4:$I$213,0)),"")</x:f>
        <x:v/>
      </x:c>
    </x:row>
    <x:row r="6" spans="1:20">
      <x:c r="A6" s="3">
        <x:v>3</x:v>
      </x:c>
      <x:c r="B6" s="4" t="s">
        <x:v>88</x:v>
      </x:c>
      <x:c r="C6" s="4" t="s">
        <x:v>69</x:v>
      </x:c>
      <x:c r="D6" s="4" t="s">
        <x:v>51</x:v>
      </x:c>
      <x:c r="E6" s="7">
        <x:f>$O$2+(A6-1)*TIME(0,$O$3,0)</x:f>
        <x:v>0.49027777777777781</x:v>
      </x:c>
      <x:c r="F6" s="3" t="str">
        <x:f>IF($R$12&lt;&gt;"",$R$12,"")</x:f>
        <x:v/>
      </x:c>
      <x:c r="G6" s="3" t="str">
        <x:f>IF($R$13&lt;&gt;"",$R$13,"")</x:f>
        <x:v/>
      </x:c>
      <x:c r="H6" s="3" t="str">
        <x:f>IF($R$14&lt;&gt;"",$R$14,"")</x:f>
        <x:v/>
      </x:c>
      <x:c r="I6" s="3" t="str">
        <x:f>IF($R$15&lt;&gt;"",$R$15,"")</x:f>
        <x:v/>
      </x:c>
      <x:c r="J6" s="3" t="s">
        <x:v>91</x:v>
      </x:c>
      <x:c r="K6" s="4"/>
      <x:c r="L6" s="4"/>
      <x:c r="Q6" s="10">
        <x:v>3</x:v>
      </x:c>
      <x:c r="R6" s="10" t="str">
        <x:f>IFERROR(INDEX('4_스코어입력'!$B$4:$B$213,MATCH(Q6,'4_스코어입력'!$I$4:$I$213,0)),"")</x:f>
        <x:v/>
      </x:c>
      <x:c r="S6" s="10" t="str">
        <x:f>IFERROR(INDEX('4_스코어입력'!$F$4:$F$213,MATCH(Q6,'4_스코어입력'!$I$4:$I$213,0)),"")</x:f>
        <x:v/>
      </x:c>
      <x:c r="T6" s="10" t="str">
        <x:f>IFERROR(INDEX('4_스코어입력'!$A$4:$A$213,MATCH(Q6,'4_스코어입력'!$I$4:$I$213,0)),"")</x:f>
        <x:v/>
      </x:c>
    </x:row>
    <x:row r="7" spans="1:20">
      <x:c r="A7" s="3">
        <x:v>4</x:v>
      </x:c>
      <x:c r="B7" s="4" t="s">
        <x:v>88</x:v>
      </x:c>
      <x:c r="C7" s="4" t="s">
        <x:v>69</x:v>
      </x:c>
      <x:c r="D7" s="4" t="s">
        <x:v>51</x:v>
      </x:c>
      <x:c r="E7" s="7">
        <x:f>$O$2+(A7-1)*TIME(0,$O$3,0)</x:f>
        <x:v>0.49583333333333335</x:v>
      </x:c>
      <x:c r="F7" s="3" t="str">
        <x:f>IF($R$16&lt;&gt;"",$R$16,"")</x:f>
        <x:v/>
      </x:c>
      <x:c r="G7" s="3" t="str">
        <x:f>IF($R$17&lt;&gt;"",$R$17,"")</x:f>
        <x:v/>
      </x:c>
      <x:c r="H7" s="3" t="str">
        <x:f>IF($R$18&lt;&gt;"",$R$18,"")</x:f>
        <x:v/>
      </x:c>
      <x:c r="I7" s="3" t="str">
        <x:f>IF($R$19&lt;&gt;"",$R$19,"")</x:f>
        <x:v/>
      </x:c>
      <x:c r="J7" s="3" t="s">
        <x:v>82</x:v>
      </x:c>
      <x:c r="K7" s="4"/>
      <x:c r="L7" s="4"/>
      <x:c r="Q7" s="10">
        <x:v>4</x:v>
      </x:c>
      <x:c r="R7" s="10" t="str">
        <x:f>IFERROR(INDEX('4_스코어입력'!$B$4:$B$213,MATCH(Q7,'4_스코어입력'!$I$4:$I$213,0)),"")</x:f>
        <x:v/>
      </x:c>
      <x:c r="S7" s="10" t="str">
        <x:f>IFERROR(INDEX('4_스코어입력'!$F$4:$F$213,MATCH(Q7,'4_스코어입력'!$I$4:$I$213,0)),"")</x:f>
        <x:v/>
      </x:c>
      <x:c r="T7" s="10" t="str">
        <x:f>IFERROR(INDEX('4_스코어입력'!$A$4:$A$213,MATCH(Q7,'4_스코어입력'!$I$4:$I$213,0)),"")</x:f>
        <x:v/>
      </x:c>
    </x:row>
    <x:row r="8" spans="1:20">
      <x:c r="A8" s="3">
        <x:v>5</x:v>
      </x:c>
      <x:c r="B8" s="4" t="s">
        <x:v>88</x:v>
      </x:c>
      <x:c r="C8" s="4" t="s">
        <x:v>69</x:v>
      </x:c>
      <x:c r="D8" s="4" t="s">
        <x:v>51</x:v>
      </x:c>
      <x:c r="E8" s="7">
        <x:f>$O$2+(A8-1)*TIME(0,$O$3,0)</x:f>
        <x:v>0.50138888888888888</x:v>
      </x:c>
      <x:c r="F8" s="3" t="str">
        <x:f>IF($R$20&lt;&gt;"",$R$20,"")</x:f>
        <x:v/>
      </x:c>
      <x:c r="G8" s="3" t="str">
        <x:f>IF($R$21&lt;&gt;"",$R$21,"")</x:f>
        <x:v/>
      </x:c>
      <x:c r="H8" s="3" t="str">
        <x:f>IF($R$22&lt;&gt;"",$R$22,"")</x:f>
        <x:v/>
      </x:c>
      <x:c r="I8" s="3" t="str">
        <x:f>IF($R$23&lt;&gt;"",$R$23,"")</x:f>
        <x:v/>
      </x:c>
      <x:c r="J8" s="3" t="s">
        <x:v>78</x:v>
      </x:c>
      <x:c r="K8" s="4"/>
      <x:c r="L8" s="4"/>
      <x:c r="Q8" s="10">
        <x:v>5</x:v>
      </x:c>
      <x:c r="R8" s="10" t="str">
        <x:f>IFERROR(INDEX('4_스코어입력'!$B$4:$B$213,MATCH(Q8,'4_스코어입력'!$I$4:$I$213,0)),"")</x:f>
        <x:v/>
      </x:c>
      <x:c r="S8" s="10" t="str">
        <x:f>IFERROR(INDEX('4_스코어입력'!$F$4:$F$213,MATCH(Q8,'4_스코어입력'!$I$4:$I$213,0)),"")</x:f>
        <x:v/>
      </x:c>
      <x:c r="T8" s="10" t="str">
        <x:f>IFERROR(INDEX('4_스코어입력'!$A$4:$A$213,MATCH(Q8,'4_스코어입력'!$I$4:$I$213,0)),"")</x:f>
        <x:v/>
      </x:c>
    </x:row>
    <x:row r="9" spans="1:20">
      <x:c r="A9" s="3">
        <x:v>6</x:v>
      </x:c>
      <x:c r="B9" s="4" t="s">
        <x:v>88</x:v>
      </x:c>
      <x:c r="C9" s="4" t="s">
        <x:v>69</x:v>
      </x:c>
      <x:c r="D9" s="4" t="s">
        <x:v>51</x:v>
      </x:c>
      <x:c r="E9" s="7">
        <x:f>$O$2+(A9-1)*TIME(0,$O$3,0)</x:f>
        <x:v>0.50694444444444442</x:v>
      </x:c>
      <x:c r="F9" s="3" t="str">
        <x:f>IF($R$24&lt;&gt;"",$R$24,"")</x:f>
        <x:v/>
      </x:c>
      <x:c r="G9" s="3" t="str">
        <x:f>IF($R$25&lt;&gt;"",$R$25,"")</x:f>
        <x:v/>
      </x:c>
      <x:c r="H9" s="3" t="str">
        <x:f>IF($R$26&lt;&gt;"",$R$26,"")</x:f>
        <x:v/>
      </x:c>
      <x:c r="I9" s="3" t="str">
        <x:f>IF($R$27&lt;&gt;"",$R$27,"")</x:f>
        <x:v/>
      </x:c>
      <x:c r="J9" s="3" t="s">
        <x:v>75</x:v>
      </x:c>
      <x:c r="K9" s="4"/>
      <x:c r="L9" s="4"/>
      <x:c r="Q9" s="10">
        <x:v>6</x:v>
      </x:c>
      <x:c r="R9" s="10" t="str">
        <x:f>IFERROR(INDEX('4_스코어입력'!$B$4:$B$213,MATCH(Q9,'4_스코어입력'!$I$4:$I$213,0)),"")</x:f>
        <x:v/>
      </x:c>
      <x:c r="S9" s="10" t="str">
        <x:f>IFERROR(INDEX('4_스코어입력'!$F$4:$F$213,MATCH(Q9,'4_스코어입력'!$I$4:$I$213,0)),"")</x:f>
        <x:v/>
      </x:c>
      <x:c r="T9" s="10" t="str">
        <x:f>IFERROR(INDEX('4_스코어입력'!$A$4:$A$213,MATCH(Q9,'4_스코어입력'!$I$4:$I$213,0)),"")</x:f>
        <x:v/>
      </x:c>
    </x:row>
    <x:row r="10" spans="1:20">
      <x:c r="A10" s="3">
        <x:v>7</x:v>
      </x:c>
      <x:c r="B10" s="4" t="s">
        <x:v>88</x:v>
      </x:c>
      <x:c r="C10" s="4" t="s">
        <x:v>69</x:v>
      </x:c>
      <x:c r="D10" s="4" t="s">
        <x:v>51</x:v>
      </x:c>
      <x:c r="E10" s="7">
        <x:f>$O$2+(A10-1)*TIME(0,$O$3,0)</x:f>
        <x:v>0.51250000000000007</x:v>
      </x:c>
      <x:c r="F10" s="3" t="str">
        <x:f>IF($R$28&lt;&gt;"",$R$28,"")</x:f>
        <x:v/>
      </x:c>
      <x:c r="G10" s="3" t="str">
        <x:f>IF($R$29&lt;&gt;"",$R$29,"")</x:f>
        <x:v/>
      </x:c>
      <x:c r="H10" s="3" t="str">
        <x:f>IF($R$30&lt;&gt;"",$R$30,"")</x:f>
        <x:v/>
      </x:c>
      <x:c r="I10" s="3" t="str">
        <x:f>IF($R$31&lt;&gt;"",$R$31,"")</x:f>
        <x:v/>
      </x:c>
      <x:c r="J10" s="3" t="s">
        <x:v>74</x:v>
      </x:c>
      <x:c r="K10" s="4"/>
      <x:c r="L10" s="4"/>
      <x:c r="Q10" s="10">
        <x:v>7</x:v>
      </x:c>
      <x:c r="R10" s="10" t="str">
        <x:f>IFERROR(INDEX('4_스코어입력'!$B$4:$B$213,MATCH(Q10,'4_스코어입력'!$I$4:$I$213,0)),"")</x:f>
        <x:v/>
      </x:c>
      <x:c r="S10" s="10" t="str">
        <x:f>IFERROR(INDEX('4_스코어입력'!$F$4:$F$213,MATCH(Q10,'4_스코어입력'!$I$4:$I$213,0)),"")</x:f>
        <x:v/>
      </x:c>
      <x:c r="T10" s="10" t="str">
        <x:f>IFERROR(INDEX('4_스코어입력'!$A$4:$A$213,MATCH(Q10,'4_스코어입력'!$I$4:$I$213,0)),"")</x:f>
        <x:v/>
      </x:c>
    </x:row>
    <x:row r="11" spans="1:20">
      <x:c r="A11" s="3">
        <x:v>8</x:v>
      </x:c>
      <x:c r="B11" s="4" t="s">
        <x:v>88</x:v>
      </x:c>
      <x:c r="C11" s="4" t="s">
        <x:v>69</x:v>
      </x:c>
      <x:c r="D11" s="4" t="s">
        <x:v>51</x:v>
      </x:c>
      <x:c r="E11" s="7">
        <x:f>$O$2+(A11-1)*TIME(0,$O$3,0)</x:f>
        <x:v>0.5180555555555556</x:v>
      </x:c>
      <x:c r="F11" s="3" t="str">
        <x:f>IF($R$32&lt;&gt;"",$R$32,"")</x:f>
        <x:v/>
      </x:c>
      <x:c r="G11" s="3" t="str">
        <x:f>IF($R$33&lt;&gt;"",$R$33,"")</x:f>
        <x:v/>
      </x:c>
      <x:c r="H11" s="3" t="str">
        <x:f>IF($R$34&lt;&gt;"",$R$34,"")</x:f>
        <x:v/>
      </x:c>
      <x:c r="I11" s="3" t="str">
        <x:f>IF($R$35&lt;&gt;"",$R$35,"")</x:f>
        <x:v/>
      </x:c>
      <x:c r="J11" s="3" t="s">
        <x:v>87</x:v>
      </x:c>
      <x:c r="K11" s="4"/>
      <x:c r="L11" s="4"/>
      <x:c r="Q11" s="10">
        <x:v>8</x:v>
      </x:c>
      <x:c r="R11" s="10" t="str">
        <x:f>IFERROR(INDEX('4_스코어입력'!$B$4:$B$213,MATCH(Q11,'4_스코어입력'!$I$4:$I$213,0)),"")</x:f>
        <x:v/>
      </x:c>
      <x:c r="S11" s="10" t="str">
        <x:f>IFERROR(INDEX('4_스코어입력'!$F$4:$F$213,MATCH(Q11,'4_스코어입력'!$I$4:$I$213,0)),"")</x:f>
        <x:v/>
      </x:c>
      <x:c r="T11" s="10" t="str">
        <x:f>IFERROR(INDEX('4_스코어입력'!$A$4:$A$213,MATCH(Q11,'4_스코어입력'!$I$4:$I$213,0)),"")</x:f>
        <x:v/>
      </x:c>
    </x:row>
    <x:row r="12" spans="1:20">
      <x:c r="A12" s="3">
        <x:v>9</x:v>
      </x:c>
      <x:c r="B12" s="4" t="s">
        <x:v>88</x:v>
      </x:c>
      <x:c r="C12" s="4" t="s">
        <x:v>69</x:v>
      </x:c>
      <x:c r="D12" s="4" t="s">
        <x:v>51</x:v>
      </x:c>
      <x:c r="E12" s="7">
        <x:f>$O$2+(A12-1)*TIME(0,$O$3,0)</x:f>
        <x:v>0.52361111111111114</x:v>
      </x:c>
      <x:c r="F12" s="3" t="str">
        <x:f>IF($R$36&lt;&gt;"",$R$36,"")</x:f>
        <x:v/>
      </x:c>
      <x:c r="G12" s="3" t="str">
        <x:f>IF($R$37&lt;&gt;"",$R$37,"")</x:f>
        <x:v/>
      </x:c>
      <x:c r="H12" s="3" t="str">
        <x:f>IF($R$38&lt;&gt;"",$R$38,"")</x:f>
        <x:v/>
      </x:c>
      <x:c r="I12" s="3" t="str">
        <x:f>IF($R$39&lt;&gt;"",$R$39,"")</x:f>
        <x:v/>
      </x:c>
      <x:c r="J12" s="3" t="s">
        <x:v>77</x:v>
      </x:c>
      <x:c r="K12" s="4"/>
      <x:c r="L12" s="4"/>
      <x:c r="Q12" s="10">
        <x:v>9</x:v>
      </x:c>
      <x:c r="R12" s="10" t="str">
        <x:f>IFERROR(INDEX('4_스코어입력'!$B$4:$B$213,MATCH(Q12,'4_스코어입력'!$I$4:$I$213,0)),"")</x:f>
        <x:v/>
      </x:c>
      <x:c r="S12" s="10" t="str">
        <x:f>IFERROR(INDEX('4_스코어입력'!$F$4:$F$213,MATCH(Q12,'4_스코어입력'!$I$4:$I$213,0)),"")</x:f>
        <x:v/>
      </x:c>
      <x:c r="T12" s="10" t="str">
        <x:f>IFERROR(INDEX('4_스코어입력'!$A$4:$A$213,MATCH(Q12,'4_스코어입력'!$I$4:$I$213,0)),"")</x:f>
        <x:v/>
      </x:c>
    </x:row>
    <x:row r="13" spans="1:20">
      <x:c r="A13" s="3">
        <x:v>10</x:v>
      </x:c>
      <x:c r="B13" s="4" t="s">
        <x:v>88</x:v>
      </x:c>
      <x:c r="C13" s="4" t="s">
        <x:v>69</x:v>
      </x:c>
      <x:c r="D13" s="4" t="s">
        <x:v>51</x:v>
      </x:c>
      <x:c r="E13" s="7">
        <x:f>$O$2+(A13-1)*TIME(0,$O$3,0)</x:f>
        <x:v>0.52916666666666667</x:v>
      </x:c>
      <x:c r="F13" s="3" t="str">
        <x:f>IF($R$40&lt;&gt;"",$R$40,"")</x:f>
        <x:v/>
      </x:c>
      <x:c r="G13" s="3" t="str">
        <x:f>IF($R$41&lt;&gt;"",$R$41,"")</x:f>
        <x:v/>
      </x:c>
      <x:c r="H13" s="3" t="str">
        <x:f>IF($R$42&lt;&gt;"",$R$42,"")</x:f>
        <x:v/>
      </x:c>
      <x:c r="I13" s="3" t="str">
        <x:f>IF($R$43&lt;&gt;"",$R$43,"")</x:f>
        <x:v/>
      </x:c>
      <x:c r="J13" s="3" t="s">
        <x:v>81</x:v>
      </x:c>
      <x:c r="K13" s="4"/>
      <x:c r="L13" s="4"/>
      <x:c r="Q13" s="10">
        <x:v>10</x:v>
      </x:c>
      <x:c r="R13" s="10" t="str">
        <x:f>IFERROR(INDEX('4_스코어입력'!$B$4:$B$213,MATCH(Q13,'4_스코어입력'!$I$4:$I$213,0)),"")</x:f>
        <x:v/>
      </x:c>
      <x:c r="S13" s="10" t="str">
        <x:f>IFERROR(INDEX('4_스코어입력'!$F$4:$F$213,MATCH(Q13,'4_스코어입력'!$I$4:$I$213,0)),"")</x:f>
        <x:v/>
      </x:c>
      <x:c r="T13" s="10" t="str">
        <x:f>IFERROR(INDEX('4_스코어입력'!$A$4:$A$213,MATCH(Q13,'4_스코어입력'!$I$4:$I$213,0)),"")</x:f>
        <x:v/>
      </x:c>
    </x:row>
    <x:row r="14" spans="1:20">
      <x:c r="A14" s="3">
        <x:v>11</x:v>
      </x:c>
      <x:c r="B14" s="4" t="s">
        <x:v>88</x:v>
      </x:c>
      <x:c r="C14" s="4" t="s">
        <x:v>69</x:v>
      </x:c>
      <x:c r="D14" s="4" t="s">
        <x:v>51</x:v>
      </x:c>
      <x:c r="E14" s="7">
        <x:f>$O$2+(A14-1)*TIME(0,$O$3,0)</x:f>
        <x:v>0.53472222222222221</x:v>
      </x:c>
      <x:c r="F14" s="3" t="str">
        <x:f>IF($R$44&lt;&gt;"",$R$44,"")</x:f>
        <x:v/>
      </x:c>
      <x:c r="G14" s="3" t="str">
        <x:f>IF($R$45&lt;&gt;"",$R$45,"")</x:f>
        <x:v/>
      </x:c>
      <x:c r="H14" s="3" t="str">
        <x:f>IF($R$46&lt;&gt;"",$R$46,"")</x:f>
        <x:v/>
      </x:c>
      <x:c r="I14" s="3" t="str">
        <x:f>IF($R$47&lt;&gt;"",$R$47,"")</x:f>
        <x:v/>
      </x:c>
      <x:c r="J14" s="3" t="s">
        <x:v>73</x:v>
      </x:c>
      <x:c r="K14" s="4"/>
      <x:c r="L14" s="4"/>
      <x:c r="Q14" s="10">
        <x:v>11</x:v>
      </x:c>
      <x:c r="R14" s="10" t="str">
        <x:f>IFERROR(INDEX('4_스코어입력'!$B$4:$B$213,MATCH(Q14,'4_스코어입력'!$I$4:$I$213,0)),"")</x:f>
        <x:v/>
      </x:c>
      <x:c r="S14" s="10" t="str">
        <x:f>IFERROR(INDEX('4_스코어입력'!$F$4:$F$213,MATCH(Q14,'4_스코어입력'!$I$4:$I$213,0)),"")</x:f>
        <x:v/>
      </x:c>
      <x:c r="T14" s="10" t="str">
        <x:f>IFERROR(INDEX('4_스코어입력'!$A$4:$A$213,MATCH(Q14,'4_스코어입력'!$I$4:$I$213,0)),"")</x:f>
        <x:v/>
      </x:c>
    </x:row>
    <x:row r="15" spans="1:20">
      <x:c r="A15" s="3">
        <x:v>12</x:v>
      </x:c>
      <x:c r="B15" s="4" t="s">
        <x:v>88</x:v>
      </x:c>
      <x:c r="C15" s="4" t="s">
        <x:v>69</x:v>
      </x:c>
      <x:c r="D15" s="4" t="s">
        <x:v>51</x:v>
      </x:c>
      <x:c r="E15" s="7">
        <x:f>$O$2+(A15-1)*TIME(0,$O$3,0)</x:f>
        <x:v>0.54027777777777786</x:v>
      </x:c>
      <x:c r="F15" s="3" t="str">
        <x:f>IF($R$48&lt;&gt;"",$R$48,"")</x:f>
        <x:v/>
      </x:c>
      <x:c r="G15" s="3" t="str">
        <x:f>IF($R$49&lt;&gt;"",$R$49,"")</x:f>
        <x:v/>
      </x:c>
      <x:c r="H15" s="3" t="str">
        <x:f>IF($R$50&lt;&gt;"",$R$50,"")</x:f>
        <x:v/>
      </x:c>
      <x:c r="I15" s="3" t="str">
        <x:f>IF($R$51&lt;&gt;"",$R$51,"")</x:f>
        <x:v/>
      </x:c>
      <x:c r="J15" s="3" t="s">
        <x:v>80</x:v>
      </x:c>
      <x:c r="K15" s="4"/>
      <x:c r="L15" s="4"/>
      <x:c r="Q15" s="10">
        <x:v>12</x:v>
      </x:c>
      <x:c r="R15" s="10" t="str">
        <x:f>IFERROR(INDEX('4_스코어입력'!$B$4:$B$213,MATCH(Q15,'4_스코어입력'!$I$4:$I$213,0)),"")</x:f>
        <x:v/>
      </x:c>
      <x:c r="S15" s="10" t="str">
        <x:f>IFERROR(INDEX('4_스코어입력'!$F$4:$F$213,MATCH(Q15,'4_스코어입력'!$I$4:$I$213,0)),"")</x:f>
        <x:v/>
      </x:c>
      <x:c r="T15" s="10" t="str">
        <x:f>IFERROR(INDEX('4_스코어입력'!$A$4:$A$213,MATCH(Q15,'4_스코어입력'!$I$4:$I$213,0)),"")</x:f>
        <x:v/>
      </x:c>
    </x:row>
    <x:row r="16" spans="1:20">
      <x:c r="A16" s="3">
        <x:v>13</x:v>
      </x:c>
      <x:c r="B16" s="4" t="s">
        <x:v>88</x:v>
      </x:c>
      <x:c r="C16" s="4" t="s">
        <x:v>69</x:v>
      </x:c>
      <x:c r="D16" s="4" t="s">
        <x:v>51</x:v>
      </x:c>
      <x:c r="E16" s="7">
        <x:f>$O$2+(A16-1)*TIME(0,$O$3,0)</x:f>
        <x:v>0.54583333333333339</x:v>
      </x:c>
      <x:c r="F16" s="3" t="str">
        <x:f>IF($R$52&lt;&gt;"",$R$52,"")</x:f>
        <x:v/>
      </x:c>
      <x:c r="G16" s="3" t="str">
        <x:f>IF($R$53&lt;&gt;"",$R$53,"")</x:f>
        <x:v/>
      </x:c>
      <x:c r="H16" s="3" t="str">
        <x:f>IF($R$54&lt;&gt;"",$R$54,"")</x:f>
        <x:v/>
      </x:c>
      <x:c r="I16" s="3" t="str">
        <x:f>IF($R$55&lt;&gt;"",$R$55,"")</x:f>
        <x:v/>
      </x:c>
      <x:c r="J16" s="3" t="s">
        <x:v>71</x:v>
      </x:c>
      <x:c r="K16" s="4"/>
      <x:c r="L16" s="4"/>
      <x:c r="Q16" s="10">
        <x:v>13</x:v>
      </x:c>
      <x:c r="R16" s="10" t="str">
        <x:f>IFERROR(INDEX('4_스코어입력'!$B$4:$B$213,MATCH(Q16,'4_스코어입력'!$I$4:$I$213,0)),"")</x:f>
        <x:v/>
      </x:c>
      <x:c r="S16" s="10" t="str">
        <x:f>IFERROR(INDEX('4_스코어입력'!$F$4:$F$213,MATCH(Q16,'4_스코어입력'!$I$4:$I$213,0)),"")</x:f>
        <x:v/>
      </x:c>
      <x:c r="T16" s="10" t="str">
        <x:f>IFERROR(INDEX('4_스코어입력'!$A$4:$A$213,MATCH(Q16,'4_스코어입력'!$I$4:$I$213,0)),"")</x:f>
        <x:v/>
      </x:c>
    </x:row>
    <x:row r="17" spans="1:20">
      <x:c r="A17" s="3">
        <x:v>14</x:v>
      </x:c>
      <x:c r="B17" s="4" t="s">
        <x:v>88</x:v>
      </x:c>
      <x:c r="C17" s="4" t="s">
        <x:v>69</x:v>
      </x:c>
      <x:c r="D17" s="4" t="s">
        <x:v>51</x:v>
      </x:c>
      <x:c r="E17" s="7">
        <x:f>$O$2+(A17-1)*TIME(0,$O$3,0)</x:f>
        <x:v>0.55138888888888893</x:v>
      </x:c>
      <x:c r="F17" s="3" t="str">
        <x:f>IF($R$56&lt;&gt;"",$R$56,"")</x:f>
        <x:v/>
      </x:c>
      <x:c r="G17" s="3" t="str">
        <x:f>IF($R$57&lt;&gt;"",$R$57,"")</x:f>
        <x:v/>
      </x:c>
      <x:c r="H17" s="3" t="str">
        <x:f>IF($R$58&lt;&gt;"",$R$58,"")</x:f>
        <x:v/>
      </x:c>
      <x:c r="I17" s="3" t="str">
        <x:f>IF($R$59&lt;&gt;"",$R$59,"")</x:f>
        <x:v/>
      </x:c>
      <x:c r="J17" s="3" t="s">
        <x:v>72</x:v>
      </x:c>
      <x:c r="K17" s="4"/>
      <x:c r="L17" s="4"/>
      <x:c r="Q17" s="10">
        <x:v>14</x:v>
      </x:c>
      <x:c r="R17" s="10" t="str">
        <x:f>IFERROR(INDEX('4_스코어입력'!$B$4:$B$213,MATCH(Q17,'4_스코어입력'!$I$4:$I$213,0)),"")</x:f>
        <x:v/>
      </x:c>
      <x:c r="S17" s="10" t="str">
        <x:f>IFERROR(INDEX('4_스코어입력'!$F$4:$F$213,MATCH(Q17,'4_스코어입력'!$I$4:$I$213,0)),"")</x:f>
        <x:v/>
      </x:c>
      <x:c r="T17" s="10" t="str">
        <x:f>IFERROR(INDEX('4_스코어입력'!$A$4:$A$213,MATCH(Q17,'4_스코어입력'!$I$4:$I$213,0)),"")</x:f>
        <x:v/>
      </x:c>
    </x:row>
    <x:row r="18" spans="1:20">
      <x:c r="A18" s="3">
        <x:v>15</x:v>
      </x:c>
      <x:c r="B18" s="4" t="s">
        <x:v>88</x:v>
      </x:c>
      <x:c r="C18" s="4" t="s">
        <x:v>69</x:v>
      </x:c>
      <x:c r="D18" s="4" t="s">
        <x:v>51</x:v>
      </x:c>
      <x:c r="E18" s="7">
        <x:f>$O$2+(A18-1)*TIME(0,$O$3,0)</x:f>
        <x:v>0.55694444444444446</x:v>
      </x:c>
      <x:c r="F18" s="3" t="str">
        <x:f>IF($R$60&lt;&gt;"",$R$60,"")</x:f>
        <x:v/>
      </x:c>
      <x:c r="G18" s="3" t="str">
        <x:f>IF($R$61&lt;&gt;"",$R$61,"")</x:f>
        <x:v/>
      </x:c>
      <x:c r="H18" s="3" t="str">
        <x:f>IF($R$62&lt;&gt;"",$R$62,"")</x:f>
        <x:v/>
      </x:c>
      <x:c r="I18" s="3" t="str">
        <x:f>IF($R$63&lt;&gt;"",$R$63,"")</x:f>
        <x:v/>
      </x:c>
      <x:c r="J18" s="3" t="s">
        <x:v>85</x:v>
      </x:c>
      <x:c r="K18" s="4"/>
      <x:c r="L18" s="4"/>
      <x:c r="Q18" s="10">
        <x:v>15</x:v>
      </x:c>
      <x:c r="R18" s="10" t="str">
        <x:f>IFERROR(INDEX('4_스코어입력'!$B$4:$B$213,MATCH(Q18,'4_스코어입력'!$I$4:$I$213,0)),"")</x:f>
        <x:v/>
      </x:c>
      <x:c r="S18" s="10" t="str">
        <x:f>IFERROR(INDEX('4_스코어입력'!$F$4:$F$213,MATCH(Q18,'4_스코어입력'!$I$4:$I$213,0)),"")</x:f>
        <x:v/>
      </x:c>
      <x:c r="T18" s="10" t="str">
        <x:f>IFERROR(INDEX('4_스코어입력'!$A$4:$A$213,MATCH(Q18,'4_스코어입력'!$I$4:$I$213,0)),"")</x:f>
        <x:v/>
      </x:c>
    </x:row>
    <x:row r="19" spans="1:20">
      <x:c r="A19" s="3">
        <x:v>16</x:v>
      </x:c>
      <x:c r="B19" s="4" t="s">
        <x:v>88</x:v>
      </x:c>
      <x:c r="C19" s="4" t="s">
        <x:v>69</x:v>
      </x:c>
      <x:c r="D19" s="4" t="s">
        <x:v>51</x:v>
      </x:c>
      <x:c r="E19" s="7">
        <x:f>$O$2+(A19-1)*TIME(0,$O$3,0)</x:f>
        <x:v>0.5625</x:v>
      </x:c>
      <x:c r="F19" s="3" t="str">
        <x:f>IF($R$64&lt;&gt;"",$R$64,"")</x:f>
        <x:v/>
      </x:c>
      <x:c r="G19" s="3" t="str">
        <x:f>IF($R$65&lt;&gt;"",$R$65,"")</x:f>
        <x:v/>
      </x:c>
      <x:c r="H19" s="3" t="str">
        <x:f>IF($R$66&lt;&gt;"",$R$66,"")</x:f>
        <x:v/>
      </x:c>
      <x:c r="I19" s="3" t="str">
        <x:f>IF($R$67&lt;&gt;"",$R$67,"")</x:f>
        <x:v/>
      </x:c>
      <x:c r="J19" s="3" t="s">
        <x:v>107</x:v>
      </x:c>
      <x:c r="K19" s="4"/>
      <x:c r="L19" s="4"/>
      <x:c r="Q19" s="10">
        <x:v>16</x:v>
      </x:c>
      <x:c r="R19" s="10" t="str">
        <x:f>IFERROR(INDEX('4_스코어입력'!$B$4:$B$213,MATCH(Q19,'4_스코어입력'!$I$4:$I$213,0)),"")</x:f>
        <x:v/>
      </x:c>
      <x:c r="S19" s="10" t="str">
        <x:f>IFERROR(INDEX('4_스코어입력'!$F$4:$F$213,MATCH(Q19,'4_스코어입력'!$I$4:$I$213,0)),"")</x:f>
        <x:v/>
      </x:c>
      <x:c r="T19" s="10" t="str">
        <x:f>IFERROR(INDEX('4_스코어입력'!$A$4:$A$213,MATCH(Q19,'4_스코어입력'!$I$4:$I$213,0)),"")</x:f>
        <x:v/>
      </x:c>
    </x:row>
    <x:row r="20" spans="1:20">
      <x:c r="A20" s="3">
        <x:v>17</x:v>
      </x:c>
      <x:c r="B20" s="4" t="s">
        <x:v>88</x:v>
      </x:c>
      <x:c r="C20" s="4" t="s">
        <x:v>69</x:v>
      </x:c>
      <x:c r="D20" s="4" t="s">
        <x:v>51</x:v>
      </x:c>
      <x:c r="E20" s="7">
        <x:f>$O$2+(A20-1)*TIME(0,$O$3,0)</x:f>
        <x:v>0.56805555555555554</x:v>
      </x:c>
      <x:c r="F20" s="3" t="str">
        <x:f>IF($R$68&lt;&gt;"",$R$68,"")</x:f>
        <x:v/>
      </x:c>
      <x:c r="G20" s="3" t="str">
        <x:f>IF($R$69&lt;&gt;"",$R$69,"")</x:f>
        <x:v/>
      </x:c>
      <x:c r="H20" s="3" t="str">
        <x:f>IF($R$70&lt;&gt;"",$R$70,"")</x:f>
        <x:v/>
      </x:c>
      <x:c r="I20" s="3" t="str">
        <x:f>IF($R$71&lt;&gt;"",$R$71,"")</x:f>
        <x:v/>
      </x:c>
      <x:c r="J20" s="3" t="s">
        <x:v>94</x:v>
      </x:c>
      <x:c r="K20" s="4"/>
      <x:c r="L20" s="4"/>
      <x:c r="Q20" s="10">
        <x:v>17</x:v>
      </x:c>
      <x:c r="R20" s="10" t="str">
        <x:f>IFERROR(INDEX('4_스코어입력'!$B$4:$B$213,MATCH(Q20,'4_스코어입력'!$I$4:$I$213,0)),"")</x:f>
        <x:v/>
      </x:c>
      <x:c r="S20" s="10" t="str">
        <x:f>IFERROR(INDEX('4_스코어입력'!$F$4:$F$213,MATCH(Q20,'4_스코어입력'!$I$4:$I$213,0)),"")</x:f>
        <x:v/>
      </x:c>
      <x:c r="T20" s="10" t="str">
        <x:f>IFERROR(INDEX('4_스코어입력'!$A$4:$A$213,MATCH(Q20,'4_스코어입력'!$I$4:$I$213,0)),"")</x:f>
        <x:v/>
      </x:c>
    </x:row>
    <x:row r="21" spans="1:20">
      <x:c r="A21" s="3">
        <x:v>18</x:v>
      </x:c>
      <x:c r="B21" s="4" t="s">
        <x:v>88</x:v>
      </x:c>
      <x:c r="C21" s="4" t="s">
        <x:v>69</x:v>
      </x:c>
      <x:c r="D21" s="4" t="s">
        <x:v>51</x:v>
      </x:c>
      <x:c r="E21" s="7">
        <x:f>$O$2+(A21-1)*TIME(0,$O$3,0)</x:f>
        <x:v>0.57361111111111107</x:v>
      </x:c>
      <x:c r="F21" s="3" t="str">
        <x:f>IF($R$72&lt;&gt;"",$R$72,"")</x:f>
        <x:v/>
      </x:c>
      <x:c r="G21" s="3" t="str">
        <x:f>IF($R$73&lt;&gt;"",$R$73,"")</x:f>
        <x:v/>
      </x:c>
      <x:c r="H21" s="3" t="str">
        <x:f>IF($R$74&lt;&gt;"",$R$74,"")</x:f>
        <x:v/>
      </x:c>
      <x:c r="I21" s="3" t="str">
        <x:f>IF($R$75&lt;&gt;"",$R$75,"")</x:f>
        <x:v/>
      </x:c>
      <x:c r="J21" s="3" t="s">
        <x:v>95</x:v>
      </x:c>
      <x:c r="K21" s="4"/>
      <x:c r="L21" s="4"/>
      <x:c r="Q21" s="10">
        <x:v>18</x:v>
      </x:c>
      <x:c r="R21" s="10" t="str">
        <x:f>IFERROR(INDEX('4_스코어입력'!$B$4:$B$213,MATCH(Q21,'4_스코어입력'!$I$4:$I$213,0)),"")</x:f>
        <x:v/>
      </x:c>
      <x:c r="S21" s="10" t="str">
        <x:f>IFERROR(INDEX('4_스코어입력'!$F$4:$F$213,MATCH(Q21,'4_스코어입력'!$I$4:$I$213,0)),"")</x:f>
        <x:v/>
      </x:c>
      <x:c r="T21" s="10" t="str">
        <x:f>IFERROR(INDEX('4_스코어입력'!$A$4:$A$213,MATCH(Q21,'4_스코어입력'!$I$4:$I$213,0)),"")</x:f>
        <x:v/>
      </x:c>
    </x:row>
    <x:row r="22" spans="1:20">
      <x:c r="A22" s="3">
        <x:v>19</x:v>
      </x:c>
      <x:c r="B22" s="4" t="s">
        <x:v>88</x:v>
      </x:c>
      <x:c r="C22" s="4" t="s">
        <x:v>69</x:v>
      </x:c>
      <x:c r="D22" s="4" t="s">
        <x:v>51</x:v>
      </x:c>
      <x:c r="E22" s="7">
        <x:f>$O$2+(A22-1)*TIME(0,$O$3,0)</x:f>
        <x:v>0.57916666666666672</x:v>
      </x:c>
      <x:c r="F22" s="3" t="str">
        <x:f>IF($R$76&lt;&gt;"",$R$76,"")</x:f>
        <x:v/>
      </x:c>
      <x:c r="G22" s="3" t="str">
        <x:f>IF($R$77&lt;&gt;"",$R$77,"")</x:f>
        <x:v/>
      </x:c>
      <x:c r="H22" s="3" t="str">
        <x:f>IF($R$78&lt;&gt;"",$R$78,"")</x:f>
        <x:v/>
      </x:c>
      <x:c r="I22" s="3" t="str">
        <x:f>IF($R$79&lt;&gt;"",$R$79,"")</x:f>
        <x:v/>
      </x:c>
      <x:c r="J22" s="3" t="s">
        <x:v>103</x:v>
      </x:c>
      <x:c r="K22" s="4"/>
      <x:c r="L22" s="4"/>
      <x:c r="Q22" s="10">
        <x:v>19</x:v>
      </x:c>
      <x:c r="R22" s="10" t="str">
        <x:f>IFERROR(INDEX('4_스코어입력'!$B$4:$B$213,MATCH(Q22,'4_스코어입력'!$I$4:$I$213,0)),"")</x:f>
        <x:v/>
      </x:c>
      <x:c r="S22" s="10" t="str">
        <x:f>IFERROR(INDEX('4_스코어입력'!$F$4:$F$213,MATCH(Q22,'4_스코어입력'!$I$4:$I$213,0)),"")</x:f>
        <x:v/>
      </x:c>
      <x:c r="T22" s="10" t="str">
        <x:f>IFERROR(INDEX('4_스코어입력'!$A$4:$A$213,MATCH(Q22,'4_스코어입력'!$I$4:$I$213,0)),"")</x:f>
        <x:v/>
      </x:c>
    </x:row>
    <x:row r="23" spans="1:20">
      <x:c r="A23" s="3">
        <x:v>20</x:v>
      </x:c>
      <x:c r="B23" s="4" t="s">
        <x:v>88</x:v>
      </x:c>
      <x:c r="C23" s="4" t="s">
        <x:v>69</x:v>
      </x:c>
      <x:c r="D23" s="4" t="s">
        <x:v>51</x:v>
      </x:c>
      <x:c r="E23" s="7">
        <x:f>$O$2+(A23-1)*TIME(0,$O$3,0)</x:f>
        <x:v>0.58472222222222225</x:v>
      </x:c>
      <x:c r="F23" s="3" t="str">
        <x:f>IF($R$80&lt;&gt;"",$R$80,"")</x:f>
        <x:v/>
      </x:c>
      <x:c r="G23" s="3" t="str">
        <x:f>IF($R$81&lt;&gt;"",$R$81,"")</x:f>
        <x:v/>
      </x:c>
      <x:c r="H23" s="3" t="str">
        <x:f>IF($R$82&lt;&gt;"",$R$82,"")</x:f>
        <x:v/>
      </x:c>
      <x:c r="I23" s="3" t="str">
        <x:f>IF($R$83&lt;&gt;"",$R$83,"")</x:f>
        <x:v/>
      </x:c>
      <x:c r="J23" s="3" t="s">
        <x:v>102</x:v>
      </x:c>
      <x:c r="K23" s="4"/>
      <x:c r="L23" s="4"/>
      <x:c r="Q23" s="10">
        <x:v>20</x:v>
      </x:c>
      <x:c r="R23" s="10" t="str">
        <x:f>IFERROR(INDEX('4_스코어입력'!$B$4:$B$213,MATCH(Q23,'4_스코어입력'!$I$4:$I$213,0)),"")</x:f>
        <x:v/>
      </x:c>
      <x:c r="S23" s="10" t="str">
        <x:f>IFERROR(INDEX('4_스코어입력'!$F$4:$F$213,MATCH(Q23,'4_스코어입력'!$I$4:$I$213,0)),"")</x:f>
        <x:v/>
      </x:c>
      <x:c r="T23" s="10" t="str">
        <x:f>IFERROR(INDEX('4_스코어입력'!$A$4:$A$213,MATCH(Q23,'4_스코어입력'!$I$4:$I$213,0)),"")</x:f>
        <x:v/>
      </x:c>
    </x:row>
    <x:row r="24" spans="1:20">
      <x:c r="A24" s="3">
        <x:v>21</x:v>
      </x:c>
      <x:c r="B24" s="4" t="s">
        <x:v>88</x:v>
      </x:c>
      <x:c r="C24" s="4" t="s">
        <x:v>69</x:v>
      </x:c>
      <x:c r="D24" s="4" t="s">
        <x:v>51</x:v>
      </x:c>
      <x:c r="E24" s="7">
        <x:f>$O$2+(A24-1)*TIME(0,$O$3,0)</x:f>
        <x:v>0.59027777777777779</x:v>
      </x:c>
      <x:c r="F24" s="3" t="str">
        <x:f>IF($R$84&lt;&gt;"",$R$84,"")</x:f>
        <x:v/>
      </x:c>
      <x:c r="G24" s="3" t="str">
        <x:f>IF($R$85&lt;&gt;"",$R$85,"")</x:f>
        <x:v/>
      </x:c>
      <x:c r="H24" s="3" t="str">
        <x:f>IF($R$86&lt;&gt;"",$R$86,"")</x:f>
        <x:v/>
      </x:c>
      <x:c r="I24" s="3" t="str">
        <x:f>IF($R$87&lt;&gt;"",$R$87,"")</x:f>
        <x:v/>
      </x:c>
      <x:c r="J24" s="3" t="s">
        <x:v>104</x:v>
      </x:c>
      <x:c r="K24" s="4"/>
      <x:c r="L24" s="4"/>
      <x:c r="Q24" s="10">
        <x:v>21</x:v>
      </x:c>
      <x:c r="R24" s="10" t="str">
        <x:f>IFERROR(INDEX('4_스코어입력'!$B$4:$B$213,MATCH(Q24,'4_스코어입력'!$I$4:$I$213,0)),"")</x:f>
        <x:v/>
      </x:c>
      <x:c r="S24" s="10" t="str">
        <x:f>IFERROR(INDEX('4_스코어입력'!$F$4:$F$213,MATCH(Q24,'4_스코어입력'!$I$4:$I$213,0)),"")</x:f>
        <x:v/>
      </x:c>
      <x:c r="T24" s="10" t="str">
        <x:f>IFERROR(INDEX('4_스코어입력'!$A$4:$A$213,MATCH(Q24,'4_스코어입력'!$I$4:$I$213,0)),"")</x:f>
        <x:v/>
      </x:c>
    </x:row>
    <x:row r="25" spans="1:20">
      <x:c r="A25" s="3">
        <x:v>22</x:v>
      </x:c>
      <x:c r="B25" s="4" t="s">
        <x:v>88</x:v>
      </x:c>
      <x:c r="C25" s="4" t="s">
        <x:v>69</x:v>
      </x:c>
      <x:c r="D25" s="4" t="s">
        <x:v>51</x:v>
      </x:c>
      <x:c r="E25" s="7">
        <x:f>$O$2+(A25-1)*TIME(0,$O$3,0)</x:f>
        <x:v>0.59583333333333333</x:v>
      </x:c>
      <x:c r="F25" s="3" t="str">
        <x:f>IF($R$88&lt;&gt;"",$R$88,"")</x:f>
        <x:v/>
      </x:c>
      <x:c r="G25" s="3" t="str">
        <x:f>IF($R$89&lt;&gt;"",$R$89,"")</x:f>
        <x:v/>
      </x:c>
      <x:c r="H25" s="3" t="str">
        <x:f>IF($R$90&lt;&gt;"",$R$90,"")</x:f>
        <x:v/>
      </x:c>
      <x:c r="I25" s="3" t="str">
        <x:f>IF($R$91&lt;&gt;"",$R$91,"")</x:f>
        <x:v/>
      </x:c>
      <x:c r="J25" s="3" t="s">
        <x:v>97</x:v>
      </x:c>
      <x:c r="K25" s="4"/>
      <x:c r="L25" s="4"/>
      <x:c r="Q25" s="10">
        <x:v>22</x:v>
      </x:c>
      <x:c r="R25" s="10" t="str">
        <x:f>IFERROR(INDEX('4_스코어입력'!$B$4:$B$213,MATCH(Q25,'4_스코어입력'!$I$4:$I$213,0)),"")</x:f>
        <x:v/>
      </x:c>
      <x:c r="S25" s="10" t="str">
        <x:f>IFERROR(INDEX('4_스코어입력'!$F$4:$F$213,MATCH(Q25,'4_스코어입력'!$I$4:$I$213,0)),"")</x:f>
        <x:v/>
      </x:c>
      <x:c r="T25" s="10" t="str">
        <x:f>IFERROR(INDEX('4_스코어입력'!$A$4:$A$213,MATCH(Q25,'4_스코어입력'!$I$4:$I$213,0)),"")</x:f>
        <x:v/>
      </x:c>
    </x:row>
    <x:row r="26" spans="1:20">
      <x:c r="A26" s="3">
        <x:v>23</x:v>
      </x:c>
      <x:c r="B26" s="4" t="s">
        <x:v>88</x:v>
      </x:c>
      <x:c r="C26" s="4" t="s">
        <x:v>69</x:v>
      </x:c>
      <x:c r="D26" s="4" t="s">
        <x:v>51</x:v>
      </x:c>
      <x:c r="E26" s="7">
        <x:f>$O$2+(A26-1)*TIME(0,$O$3,0)</x:f>
        <x:v>0.60138888888888897</x:v>
      </x:c>
      <x:c r="F26" s="3" t="str">
        <x:f>IF($R$92&lt;&gt;"",$R$92,"")</x:f>
        <x:v/>
      </x:c>
      <x:c r="G26" s="3" t="str">
        <x:f>IF($R$93&lt;&gt;"",$R$93,"")</x:f>
        <x:v/>
      </x:c>
      <x:c r="H26" s="3" t="str">
        <x:f>IF($R$94&lt;&gt;"",$R$94,"")</x:f>
        <x:v/>
      </x:c>
      <x:c r="I26" s="3" t="str">
        <x:f>IF($R$95&lt;&gt;"",$R$95,"")</x:f>
        <x:v/>
      </x:c>
      <x:c r="J26" s="3" t="s">
        <x:v>98</x:v>
      </x:c>
      <x:c r="K26" s="4"/>
      <x:c r="L26" s="4"/>
      <x:c r="Q26" s="10">
        <x:v>23</x:v>
      </x:c>
      <x:c r="R26" s="10" t="str">
        <x:f>IFERROR(INDEX('4_스코어입력'!$B$4:$B$213,MATCH(Q26,'4_스코어입력'!$I$4:$I$213,0)),"")</x:f>
        <x:v/>
      </x:c>
      <x:c r="S26" s="10" t="str">
        <x:f>IFERROR(INDEX('4_스코어입력'!$F$4:$F$213,MATCH(Q26,'4_스코어입력'!$I$4:$I$213,0)),"")</x:f>
        <x:v/>
      </x:c>
      <x:c r="T26" s="10" t="str">
        <x:f>IFERROR(INDEX('4_스코어입력'!$A$4:$A$213,MATCH(Q26,'4_스코어입력'!$I$4:$I$213,0)),"")</x:f>
        <x:v/>
      </x:c>
    </x:row>
    <x:row r="27" spans="1:20">
      <x:c r="A27" s="3">
        <x:v>24</x:v>
      </x:c>
      <x:c r="B27" s="4" t="s">
        <x:v>88</x:v>
      </x:c>
      <x:c r="C27" s="4" t="s">
        <x:v>69</x:v>
      </x:c>
      <x:c r="D27" s="4" t="s">
        <x:v>51</x:v>
      </x:c>
      <x:c r="E27" s="7">
        <x:f>$O$2+(A27-1)*TIME(0,$O$3,0)</x:f>
        <x:v>0.60694444444444451</x:v>
      </x:c>
      <x:c r="F27" s="3" t="str">
        <x:f>IF($R$96&lt;&gt;"",$R$96,"")</x:f>
        <x:v/>
      </x:c>
      <x:c r="G27" s="3" t="str">
        <x:f>IF($R$97&lt;&gt;"",$R$97,"")</x:f>
        <x:v/>
      </x:c>
      <x:c r="H27" s="3" t="str">
        <x:f>IF($R$98&lt;&gt;"",$R$98,"")</x:f>
        <x:v/>
      </x:c>
      <x:c r="I27" s="3" t="str">
        <x:f>IF($R$99&lt;&gt;"",$R$99,"")</x:f>
        <x:v/>
      </x:c>
      <x:c r="J27" s="3" t="s">
        <x:v>96</x:v>
      </x:c>
      <x:c r="K27" s="4"/>
      <x:c r="L27" s="4"/>
      <x:c r="Q27" s="10">
        <x:v>24</x:v>
      </x:c>
      <x:c r="R27" s="10" t="str">
        <x:f>IFERROR(INDEX('4_스코어입력'!$B$4:$B$213,MATCH(Q27,'4_스코어입력'!$I$4:$I$213,0)),"")</x:f>
        <x:v/>
      </x:c>
      <x:c r="S27" s="10" t="str">
        <x:f>IFERROR(INDEX('4_스코어입력'!$F$4:$F$213,MATCH(Q27,'4_스코어입력'!$I$4:$I$213,0)),"")</x:f>
        <x:v/>
      </x:c>
      <x:c r="T27" s="10" t="str">
        <x:f>IFERROR(INDEX('4_스코어입력'!$A$4:$A$213,MATCH(Q27,'4_스코어입력'!$I$4:$I$213,0)),"")</x:f>
        <x:v/>
      </x:c>
    </x:row>
    <x:row r="28" spans="1:20">
      <x:c r="A28" s="3">
        <x:v>25</x:v>
      </x:c>
      <x:c r="B28" s="4" t="s">
        <x:v>88</x:v>
      </x:c>
      <x:c r="C28" s="4" t="s">
        <x:v>69</x:v>
      </x:c>
      <x:c r="D28" s="4" t="s">
        <x:v>51</x:v>
      </x:c>
      <x:c r="E28" s="7">
        <x:f>$O$2+(A28-1)*TIME(0,$O$3,0)</x:f>
        <x:v>0.61250000000000004</x:v>
      </x:c>
      <x:c r="F28" s="3" t="str">
        <x:f>IF($R$100&lt;&gt;"",$R$100,"")</x:f>
        <x:v/>
      </x:c>
      <x:c r="G28" s="3" t="str">
        <x:f>IF($R$101&lt;&gt;"",$R$101,"")</x:f>
        <x:v/>
      </x:c>
      <x:c r="H28" s="3" t="str">
        <x:f>IF($R$102&lt;&gt;"",$R$102,"")</x:f>
        <x:v/>
      </x:c>
      <x:c r="I28" s="3" t="str">
        <x:f>IF($R$103&lt;&gt;"",$R$103,"")</x:f>
        <x:v/>
      </x:c>
      <x:c r="J28" s="3" t="s">
        <x:v>99</x:v>
      </x:c>
      <x:c r="K28" s="4"/>
      <x:c r="L28" s="4"/>
      <x:c r="Q28" s="10">
        <x:v>25</x:v>
      </x:c>
      <x:c r="R28" s="10" t="str">
        <x:f>IFERROR(INDEX('4_스코어입력'!$B$4:$B$213,MATCH(Q28,'4_스코어입력'!$I$4:$I$213,0)),"")</x:f>
        <x:v/>
      </x:c>
      <x:c r="S28" s="10" t="str">
        <x:f>IFERROR(INDEX('4_스코어입력'!$F$4:$F$213,MATCH(Q28,'4_스코어입력'!$I$4:$I$213,0)),"")</x:f>
        <x:v/>
      </x:c>
      <x:c r="T28" s="10" t="str">
        <x:f>IFERROR(INDEX('4_스코어입력'!$A$4:$A$213,MATCH(Q28,'4_스코어입력'!$I$4:$I$213,0)),"")</x:f>
        <x:v/>
      </x:c>
    </x:row>
    <x:row r="29" spans="1:20">
      <x:c r="A29" s="3">
        <x:v>26</x:v>
      </x:c>
      <x:c r="B29" s="4" t="s">
        <x:v>88</x:v>
      </x:c>
      <x:c r="C29" s="4" t="s">
        <x:v>69</x:v>
      </x:c>
      <x:c r="D29" s="4" t="s">
        <x:v>51</x:v>
      </x:c>
      <x:c r="E29" s="7">
        <x:f>$O$2+(A29-1)*TIME(0,$O$3,0)</x:f>
        <x:v>0.61805555555555558</x:v>
      </x:c>
      <x:c r="F29" s="3" t="str">
        <x:f>IF($R$104&lt;&gt;"",$R$104,"")</x:f>
        <x:v/>
      </x:c>
      <x:c r="G29" s="3" t="str">
        <x:f>IF($R$105&lt;&gt;"",$R$105,"")</x:f>
        <x:v/>
      </x:c>
      <x:c r="H29" s="3" t="str">
        <x:f>IF($R$106&lt;&gt;"",$R$106,"")</x:f>
        <x:v/>
      </x:c>
      <x:c r="I29" s="3" t="str">
        <x:f>IF($R$107&lt;&gt;"",$R$107,"")</x:f>
        <x:v/>
      </x:c>
      <x:c r="J29" s="3" t="s">
        <x:v>37</x:v>
      </x:c>
      <x:c r="K29" s="4"/>
      <x:c r="L29" s="4"/>
      <x:c r="Q29" s="10">
        <x:v>26</x:v>
      </x:c>
      <x:c r="R29" s="10" t="str">
        <x:f>IFERROR(INDEX('4_스코어입력'!$B$4:$B$213,MATCH(Q29,'4_스코어입력'!$I$4:$I$213,0)),"")</x:f>
        <x:v/>
      </x:c>
      <x:c r="S29" s="10" t="str">
        <x:f>IFERROR(INDEX('4_스코어입력'!$F$4:$F$213,MATCH(Q29,'4_스코어입력'!$I$4:$I$213,0)),"")</x:f>
        <x:v/>
      </x:c>
      <x:c r="T29" s="10" t="str">
        <x:f>IFERROR(INDEX('4_스코어입력'!$A$4:$A$213,MATCH(Q29,'4_스코어입력'!$I$4:$I$213,0)),"")</x:f>
        <x:v/>
      </x:c>
    </x:row>
    <x:row r="30" spans="17:20">
      <x:c r="Q30" s="10">
        <x:v>27</x:v>
      </x:c>
      <x:c r="R30" s="10" t="str">
        <x:f>IFERROR(INDEX('4_스코어입력'!$B$4:$B$213,MATCH(Q30,'4_스코어입력'!$I$4:$I$213,0)),"")</x:f>
        <x:v/>
      </x:c>
      <x:c r="S30" s="10" t="str">
        <x:f>IFERROR(INDEX('4_스코어입력'!$F$4:$F$213,MATCH(Q30,'4_스코어입력'!$I$4:$I$213,0)),"")</x:f>
        <x:v/>
      </x:c>
      <x:c r="T30" s="10" t="str">
        <x:f>IFERROR(INDEX('4_스코어입력'!$A$4:$A$213,MATCH(Q30,'4_스코어입력'!$I$4:$I$213,0)),"")</x:f>
        <x:v/>
      </x:c>
    </x:row>
    <x:row r="31" spans="17:20">
      <x:c r="Q31" s="10">
        <x:v>28</x:v>
      </x:c>
      <x:c r="R31" s="10" t="str">
        <x:f>IFERROR(INDEX('4_스코어입력'!$B$4:$B$213,MATCH(Q31,'4_스코어입력'!$I$4:$I$213,0)),"")</x:f>
        <x:v/>
      </x:c>
      <x:c r="S31" s="10" t="str">
        <x:f>IFERROR(INDEX('4_스코어입력'!$F$4:$F$213,MATCH(Q31,'4_스코어입력'!$I$4:$I$213,0)),"")</x:f>
        <x:v/>
      </x:c>
      <x:c r="T31" s="10" t="str">
        <x:f>IFERROR(INDEX('4_스코어입력'!$A$4:$A$213,MATCH(Q31,'4_스코어입력'!$I$4:$I$213,0)),"")</x:f>
        <x:v/>
      </x:c>
    </x:row>
    <x:row r="32" spans="17:20">
      <x:c r="Q32" s="10">
        <x:v>29</x:v>
      </x:c>
      <x:c r="R32" s="10" t="str">
        <x:f>IFERROR(INDEX('4_스코어입력'!$B$4:$B$213,MATCH(Q32,'4_스코어입력'!$I$4:$I$213,0)),"")</x:f>
        <x:v/>
      </x:c>
      <x:c r="S32" s="10" t="str">
        <x:f>IFERROR(INDEX('4_스코어입력'!$F$4:$F$213,MATCH(Q32,'4_스코어입력'!$I$4:$I$213,0)),"")</x:f>
        <x:v/>
      </x:c>
      <x:c r="T32" s="10" t="str">
        <x:f>IFERROR(INDEX('4_스코어입력'!$A$4:$A$213,MATCH(Q32,'4_스코어입력'!$I$4:$I$213,0)),"")</x:f>
        <x:v/>
      </x:c>
    </x:row>
    <x:row r="33" spans="17:20">
      <x:c r="Q33" s="10">
        <x:v>30</x:v>
      </x:c>
      <x:c r="R33" s="10" t="str">
        <x:f>IFERROR(INDEX('4_스코어입력'!$B$4:$B$213,MATCH(Q33,'4_스코어입력'!$I$4:$I$213,0)),"")</x:f>
        <x:v/>
      </x:c>
      <x:c r="S33" s="10" t="str">
        <x:f>IFERROR(INDEX('4_스코어입력'!$F$4:$F$213,MATCH(Q33,'4_스코어입력'!$I$4:$I$213,0)),"")</x:f>
        <x:v/>
      </x:c>
      <x:c r="T33" s="10" t="str">
        <x:f>IFERROR(INDEX('4_스코어입력'!$A$4:$A$213,MATCH(Q33,'4_스코어입력'!$I$4:$I$213,0)),"")</x:f>
        <x:v/>
      </x:c>
    </x:row>
    <x:row r="34" spans="17:20">
      <x:c r="Q34" s="10">
        <x:v>31</x:v>
      </x:c>
      <x:c r="R34" s="10" t="str">
        <x:f>IFERROR(INDEX('4_스코어입력'!$B$4:$B$213,MATCH(Q34,'4_스코어입력'!$I$4:$I$213,0)),"")</x:f>
        <x:v/>
      </x:c>
      <x:c r="S34" s="10" t="str">
        <x:f>IFERROR(INDEX('4_스코어입력'!$F$4:$F$213,MATCH(Q34,'4_스코어입력'!$I$4:$I$213,0)),"")</x:f>
        <x:v/>
      </x:c>
      <x:c r="T34" s="10" t="str">
        <x:f>IFERROR(INDEX('4_스코어입력'!$A$4:$A$213,MATCH(Q34,'4_스코어입력'!$I$4:$I$213,0)),"")</x:f>
        <x:v/>
      </x:c>
    </x:row>
    <x:row r="35" spans="17:20">
      <x:c r="Q35" s="10">
        <x:v>32</x:v>
      </x:c>
      <x:c r="R35" s="10" t="str">
        <x:f>IFERROR(INDEX('4_스코어입력'!$B$4:$B$213,MATCH(Q35,'4_스코어입력'!$I$4:$I$213,0)),"")</x:f>
        <x:v/>
      </x:c>
      <x:c r="S35" s="10" t="str">
        <x:f>IFERROR(INDEX('4_스코어입력'!$F$4:$F$213,MATCH(Q35,'4_스코어입력'!$I$4:$I$213,0)),"")</x:f>
        <x:v/>
      </x:c>
      <x:c r="T35" s="10" t="str">
        <x:f>IFERROR(INDEX('4_스코어입력'!$A$4:$A$213,MATCH(Q35,'4_스코어입력'!$I$4:$I$213,0)),"")</x:f>
        <x:v/>
      </x:c>
    </x:row>
    <x:row r="36" spans="17:20">
      <x:c r="Q36" s="10">
        <x:v>33</x:v>
      </x:c>
      <x:c r="R36" s="10" t="str">
        <x:f>IFERROR(INDEX('4_스코어입력'!$B$4:$B$213,MATCH(Q36,'4_스코어입력'!$I$4:$I$213,0)),"")</x:f>
        <x:v/>
      </x:c>
      <x:c r="S36" s="10" t="str">
        <x:f>IFERROR(INDEX('4_스코어입력'!$F$4:$F$213,MATCH(Q36,'4_스코어입력'!$I$4:$I$213,0)),"")</x:f>
        <x:v/>
      </x:c>
      <x:c r="T36" s="10" t="str">
        <x:f>IFERROR(INDEX('4_스코어입력'!$A$4:$A$213,MATCH(Q36,'4_스코어입력'!$I$4:$I$213,0)),"")</x:f>
        <x:v/>
      </x:c>
    </x:row>
    <x:row r="37" spans="17:20">
      <x:c r="Q37" s="10">
        <x:v>34</x:v>
      </x:c>
      <x:c r="R37" s="10" t="str">
        <x:f>IFERROR(INDEX('4_스코어입력'!$B$4:$B$213,MATCH(Q37,'4_스코어입력'!$I$4:$I$213,0)),"")</x:f>
        <x:v/>
      </x:c>
      <x:c r="S37" s="10" t="str">
        <x:f>IFERROR(INDEX('4_스코어입력'!$F$4:$F$213,MATCH(Q37,'4_스코어입력'!$I$4:$I$213,0)),"")</x:f>
        <x:v/>
      </x:c>
      <x:c r="T37" s="10" t="str">
        <x:f>IFERROR(INDEX('4_스코어입력'!$A$4:$A$213,MATCH(Q37,'4_스코어입력'!$I$4:$I$213,0)),"")</x:f>
        <x:v/>
      </x:c>
    </x:row>
    <x:row r="38" spans="17:20">
      <x:c r="Q38" s="10">
        <x:v>35</x:v>
      </x:c>
      <x:c r="R38" s="10" t="str">
        <x:f>IFERROR(INDEX('4_스코어입력'!$B$4:$B$213,MATCH(Q38,'4_스코어입력'!$I$4:$I$213,0)),"")</x:f>
        <x:v/>
      </x:c>
      <x:c r="S38" s="10" t="str">
        <x:f>IFERROR(INDEX('4_스코어입력'!$F$4:$F$213,MATCH(Q38,'4_스코어입력'!$I$4:$I$213,0)),"")</x:f>
        <x:v/>
      </x:c>
      <x:c r="T38" s="10" t="str">
        <x:f>IFERROR(INDEX('4_스코어입력'!$A$4:$A$213,MATCH(Q38,'4_스코어입력'!$I$4:$I$213,0)),"")</x:f>
        <x:v/>
      </x:c>
    </x:row>
    <x:row r="39" spans="17:20">
      <x:c r="Q39" s="10">
        <x:v>36</x:v>
      </x:c>
      <x:c r="R39" s="10" t="str">
        <x:f>IFERROR(INDEX('4_스코어입력'!$B$4:$B$213,MATCH(Q39,'4_스코어입력'!$I$4:$I$213,0)),"")</x:f>
        <x:v/>
      </x:c>
      <x:c r="S39" s="10" t="str">
        <x:f>IFERROR(INDEX('4_스코어입력'!$F$4:$F$213,MATCH(Q39,'4_스코어입력'!$I$4:$I$213,0)),"")</x:f>
        <x:v/>
      </x:c>
      <x:c r="T39" s="10" t="str">
        <x:f>IFERROR(INDEX('4_스코어입력'!$A$4:$A$213,MATCH(Q39,'4_스코어입력'!$I$4:$I$213,0)),"")</x:f>
        <x:v/>
      </x:c>
    </x:row>
    <x:row r="40" spans="17:20">
      <x:c r="Q40" s="10">
        <x:v>37</x:v>
      </x:c>
      <x:c r="R40" s="10" t="str">
        <x:f>IFERROR(INDEX('4_스코어입력'!$B$4:$B$213,MATCH(Q40,'4_스코어입력'!$I$4:$I$213,0)),"")</x:f>
        <x:v/>
      </x:c>
      <x:c r="S40" s="10" t="str">
        <x:f>IFERROR(INDEX('4_스코어입력'!$F$4:$F$213,MATCH(Q40,'4_스코어입력'!$I$4:$I$213,0)),"")</x:f>
        <x:v/>
      </x:c>
      <x:c r="T40" s="10" t="str">
        <x:f>IFERROR(INDEX('4_스코어입력'!$A$4:$A$213,MATCH(Q40,'4_스코어입력'!$I$4:$I$213,0)),"")</x:f>
        <x:v/>
      </x:c>
    </x:row>
    <x:row r="41" spans="17:20">
      <x:c r="Q41" s="10">
        <x:v>38</x:v>
      </x:c>
      <x:c r="R41" s="10" t="str">
        <x:f>IFERROR(INDEX('4_스코어입력'!$B$4:$B$213,MATCH(Q41,'4_스코어입력'!$I$4:$I$213,0)),"")</x:f>
        <x:v/>
      </x:c>
      <x:c r="S41" s="10" t="str">
        <x:f>IFERROR(INDEX('4_스코어입력'!$F$4:$F$213,MATCH(Q41,'4_스코어입력'!$I$4:$I$213,0)),"")</x:f>
        <x:v/>
      </x:c>
      <x:c r="T41" s="10" t="str">
        <x:f>IFERROR(INDEX('4_스코어입력'!$A$4:$A$213,MATCH(Q41,'4_스코어입력'!$I$4:$I$213,0)),"")</x:f>
        <x:v/>
      </x:c>
    </x:row>
    <x:row r="42" spans="17:20">
      <x:c r="Q42" s="10">
        <x:v>39</x:v>
      </x:c>
      <x:c r="R42" s="10" t="str">
        <x:f>IFERROR(INDEX('4_스코어입력'!$B$4:$B$213,MATCH(Q42,'4_스코어입력'!$I$4:$I$213,0)),"")</x:f>
        <x:v/>
      </x:c>
      <x:c r="S42" s="10" t="str">
        <x:f>IFERROR(INDEX('4_스코어입력'!$F$4:$F$213,MATCH(Q42,'4_스코어입력'!$I$4:$I$213,0)),"")</x:f>
        <x:v/>
      </x:c>
      <x:c r="T42" s="10" t="str">
        <x:f>IFERROR(INDEX('4_스코어입력'!$A$4:$A$213,MATCH(Q42,'4_스코어입력'!$I$4:$I$213,0)),"")</x:f>
        <x:v/>
      </x:c>
    </x:row>
    <x:row r="43" spans="17:20">
      <x:c r="Q43" s="10">
        <x:v>40</x:v>
      </x:c>
      <x:c r="R43" s="10" t="str">
        <x:f>IFERROR(INDEX('4_스코어입력'!$B$4:$B$213,MATCH(Q43,'4_스코어입력'!$I$4:$I$213,0)),"")</x:f>
        <x:v/>
      </x:c>
      <x:c r="S43" s="10" t="str">
        <x:f>IFERROR(INDEX('4_스코어입력'!$F$4:$F$213,MATCH(Q43,'4_스코어입력'!$I$4:$I$213,0)),"")</x:f>
        <x:v/>
      </x:c>
      <x:c r="T43" s="10" t="str">
        <x:f>IFERROR(INDEX('4_스코어입력'!$A$4:$A$213,MATCH(Q43,'4_스코어입력'!$I$4:$I$213,0)),"")</x:f>
        <x:v/>
      </x:c>
    </x:row>
    <x:row r="44" spans="17:20">
      <x:c r="Q44" s="10">
        <x:v>41</x:v>
      </x:c>
      <x:c r="R44" s="10" t="str">
        <x:f>IFERROR(INDEX('4_스코어입력'!$B$4:$B$213,MATCH(Q44,'4_스코어입력'!$I$4:$I$213,0)),"")</x:f>
        <x:v/>
      </x:c>
      <x:c r="S44" s="10" t="str">
        <x:f>IFERROR(INDEX('4_스코어입력'!$F$4:$F$213,MATCH(Q44,'4_스코어입력'!$I$4:$I$213,0)),"")</x:f>
        <x:v/>
      </x:c>
      <x:c r="T44" s="10" t="str">
        <x:f>IFERROR(INDEX('4_스코어입력'!$A$4:$A$213,MATCH(Q44,'4_스코어입력'!$I$4:$I$213,0)),"")</x:f>
        <x:v/>
      </x:c>
    </x:row>
    <x:row r="45" spans="17:20">
      <x:c r="Q45" s="10">
        <x:v>42</x:v>
      </x:c>
      <x:c r="R45" s="10" t="str">
        <x:f>IFERROR(INDEX('4_스코어입력'!$B$4:$B$213,MATCH(Q45,'4_스코어입력'!$I$4:$I$213,0)),"")</x:f>
        <x:v/>
      </x:c>
      <x:c r="S45" s="10" t="str">
        <x:f>IFERROR(INDEX('4_스코어입력'!$F$4:$F$213,MATCH(Q45,'4_스코어입력'!$I$4:$I$213,0)),"")</x:f>
        <x:v/>
      </x:c>
      <x:c r="T45" s="10" t="str">
        <x:f>IFERROR(INDEX('4_스코어입력'!$A$4:$A$213,MATCH(Q45,'4_스코어입력'!$I$4:$I$213,0)),"")</x:f>
        <x:v/>
      </x:c>
    </x:row>
    <x:row r="46" spans="17:20">
      <x:c r="Q46" s="10">
        <x:v>43</x:v>
      </x:c>
      <x:c r="R46" s="10" t="str">
        <x:f>IFERROR(INDEX('4_스코어입력'!$B$4:$B$213,MATCH(Q46,'4_스코어입력'!$I$4:$I$213,0)),"")</x:f>
        <x:v/>
      </x:c>
      <x:c r="S46" s="10" t="str">
        <x:f>IFERROR(INDEX('4_스코어입력'!$F$4:$F$213,MATCH(Q46,'4_스코어입력'!$I$4:$I$213,0)),"")</x:f>
        <x:v/>
      </x:c>
      <x:c r="T46" s="10" t="str">
        <x:f>IFERROR(INDEX('4_스코어입력'!$A$4:$A$213,MATCH(Q46,'4_스코어입력'!$I$4:$I$213,0)),"")</x:f>
        <x:v/>
      </x:c>
    </x:row>
    <x:row r="47" spans="17:20">
      <x:c r="Q47" s="10">
        <x:v>44</x:v>
      </x:c>
      <x:c r="R47" s="10" t="str">
        <x:f>IFERROR(INDEX('4_스코어입력'!$B$4:$B$213,MATCH(Q47,'4_스코어입력'!$I$4:$I$213,0)),"")</x:f>
        <x:v/>
      </x:c>
      <x:c r="S47" s="10" t="str">
        <x:f>IFERROR(INDEX('4_스코어입력'!$F$4:$F$213,MATCH(Q47,'4_스코어입력'!$I$4:$I$213,0)),"")</x:f>
        <x:v/>
      </x:c>
      <x:c r="T47" s="10" t="str">
        <x:f>IFERROR(INDEX('4_스코어입력'!$A$4:$A$213,MATCH(Q47,'4_스코어입력'!$I$4:$I$213,0)),"")</x:f>
        <x:v/>
      </x:c>
    </x:row>
    <x:row r="48" spans="17:20">
      <x:c r="Q48" s="10">
        <x:v>45</x:v>
      </x:c>
      <x:c r="R48" s="10" t="str">
        <x:f>IFERROR(INDEX('4_스코어입력'!$B$4:$B$213,MATCH(Q48,'4_스코어입력'!$I$4:$I$213,0)),"")</x:f>
        <x:v/>
      </x:c>
      <x:c r="S48" s="10" t="str">
        <x:f>IFERROR(INDEX('4_스코어입력'!$F$4:$F$213,MATCH(Q48,'4_스코어입력'!$I$4:$I$213,0)),"")</x:f>
        <x:v/>
      </x:c>
      <x:c r="T48" s="10" t="str">
        <x:f>IFERROR(INDEX('4_스코어입력'!$A$4:$A$213,MATCH(Q48,'4_스코어입력'!$I$4:$I$213,0)),"")</x:f>
        <x:v/>
      </x:c>
    </x:row>
    <x:row r="49" spans="17:20">
      <x:c r="Q49" s="10">
        <x:v>46</x:v>
      </x:c>
      <x:c r="R49" s="10" t="str">
        <x:f>IFERROR(INDEX('4_스코어입력'!$B$4:$B$213,MATCH(Q49,'4_스코어입력'!$I$4:$I$213,0)),"")</x:f>
        <x:v/>
      </x:c>
      <x:c r="S49" s="10" t="str">
        <x:f>IFERROR(INDEX('4_스코어입력'!$F$4:$F$213,MATCH(Q49,'4_스코어입력'!$I$4:$I$213,0)),"")</x:f>
        <x:v/>
      </x:c>
      <x:c r="T49" s="10" t="str">
        <x:f>IFERROR(INDEX('4_스코어입력'!$A$4:$A$213,MATCH(Q49,'4_스코어입력'!$I$4:$I$213,0)),"")</x:f>
        <x:v/>
      </x:c>
    </x:row>
    <x:row r="50" spans="17:20">
      <x:c r="Q50" s="10">
        <x:v>47</x:v>
      </x:c>
      <x:c r="R50" s="10" t="str">
        <x:f>IFERROR(INDEX('4_스코어입력'!$B$4:$B$213,MATCH(Q50,'4_스코어입력'!$I$4:$I$213,0)),"")</x:f>
        <x:v/>
      </x:c>
      <x:c r="S50" s="10" t="str">
        <x:f>IFERROR(INDEX('4_스코어입력'!$F$4:$F$213,MATCH(Q50,'4_스코어입력'!$I$4:$I$213,0)),"")</x:f>
        <x:v/>
      </x:c>
      <x:c r="T50" s="10" t="str">
        <x:f>IFERROR(INDEX('4_스코어입력'!$A$4:$A$213,MATCH(Q50,'4_스코어입력'!$I$4:$I$213,0)),"")</x:f>
        <x:v/>
      </x:c>
    </x:row>
    <x:row r="51" spans="17:20">
      <x:c r="Q51" s="10">
        <x:v>48</x:v>
      </x:c>
      <x:c r="R51" s="10" t="str">
        <x:f>IFERROR(INDEX('4_스코어입력'!$B$4:$B$213,MATCH(Q51,'4_스코어입력'!$I$4:$I$213,0)),"")</x:f>
        <x:v/>
      </x:c>
      <x:c r="S51" s="10" t="str">
        <x:f>IFERROR(INDEX('4_스코어입력'!$F$4:$F$213,MATCH(Q51,'4_스코어입력'!$I$4:$I$213,0)),"")</x:f>
        <x:v/>
      </x:c>
      <x:c r="T51" s="10" t="str">
        <x:f>IFERROR(INDEX('4_스코어입력'!$A$4:$A$213,MATCH(Q51,'4_스코어입력'!$I$4:$I$213,0)),"")</x:f>
        <x:v/>
      </x:c>
    </x:row>
    <x:row r="52" spans="17:20">
      <x:c r="Q52" s="10">
        <x:v>49</x:v>
      </x:c>
      <x:c r="R52" s="10" t="str">
        <x:f>IFERROR(INDEX('4_스코어입력'!$B$4:$B$213,MATCH(Q52,'4_스코어입력'!$I$4:$I$213,0)),"")</x:f>
        <x:v/>
      </x:c>
      <x:c r="S52" s="10" t="str">
        <x:f>IFERROR(INDEX('4_스코어입력'!$F$4:$F$213,MATCH(Q52,'4_스코어입력'!$I$4:$I$213,0)),"")</x:f>
        <x:v/>
      </x:c>
      <x:c r="T52" s="10" t="str">
        <x:f>IFERROR(INDEX('4_스코어입력'!$A$4:$A$213,MATCH(Q52,'4_스코어입력'!$I$4:$I$213,0)),"")</x:f>
        <x:v/>
      </x:c>
    </x:row>
    <x:row r="53" spans="17:20">
      <x:c r="Q53" s="10">
        <x:v>50</x:v>
      </x:c>
      <x:c r="R53" s="10" t="str">
        <x:f>IFERROR(INDEX('4_스코어입력'!$B$4:$B$213,MATCH(Q53,'4_스코어입력'!$I$4:$I$213,0)),"")</x:f>
        <x:v/>
      </x:c>
      <x:c r="S53" s="10" t="str">
        <x:f>IFERROR(INDEX('4_스코어입력'!$F$4:$F$213,MATCH(Q53,'4_스코어입력'!$I$4:$I$213,0)),"")</x:f>
        <x:v/>
      </x:c>
      <x:c r="T53" s="10" t="str">
        <x:f>IFERROR(INDEX('4_스코어입력'!$A$4:$A$213,MATCH(Q53,'4_스코어입력'!$I$4:$I$213,0)),"")</x:f>
        <x:v/>
      </x:c>
    </x:row>
    <x:row r="54" spans="17:20">
      <x:c r="Q54" s="10">
        <x:v>51</x:v>
      </x:c>
      <x:c r="R54" s="10" t="str">
        <x:f>IFERROR(INDEX('4_스코어입력'!$B$4:$B$213,MATCH(Q54,'4_스코어입력'!$I$4:$I$213,0)),"")</x:f>
        <x:v/>
      </x:c>
      <x:c r="S54" s="10" t="str">
        <x:f>IFERROR(INDEX('4_스코어입력'!$F$4:$F$213,MATCH(Q54,'4_스코어입력'!$I$4:$I$213,0)),"")</x:f>
        <x:v/>
      </x:c>
      <x:c r="T54" s="10" t="str">
        <x:f>IFERROR(INDEX('4_스코어입력'!$A$4:$A$213,MATCH(Q54,'4_스코어입력'!$I$4:$I$213,0)),"")</x:f>
        <x:v/>
      </x:c>
    </x:row>
    <x:row r="55" spans="17:20">
      <x:c r="Q55" s="10">
        <x:v>52</x:v>
      </x:c>
      <x:c r="R55" s="10" t="str">
        <x:f>IFERROR(INDEX('4_스코어입력'!$B$4:$B$213,MATCH(Q55,'4_스코어입력'!$I$4:$I$213,0)),"")</x:f>
        <x:v/>
      </x:c>
      <x:c r="S55" s="10" t="str">
        <x:f>IFERROR(INDEX('4_스코어입력'!$F$4:$F$213,MATCH(Q55,'4_스코어입력'!$I$4:$I$213,0)),"")</x:f>
        <x:v/>
      </x:c>
      <x:c r="T55" s="10" t="str">
        <x:f>IFERROR(INDEX('4_스코어입력'!$A$4:$A$213,MATCH(Q55,'4_스코어입력'!$I$4:$I$213,0)),"")</x:f>
        <x:v/>
      </x:c>
    </x:row>
    <x:row r="56" spans="17:20">
      <x:c r="Q56" s="10">
        <x:v>53</x:v>
      </x:c>
      <x:c r="R56" s="10" t="str">
        <x:f>IFERROR(INDEX('4_스코어입력'!$B$4:$B$213,MATCH(Q56,'4_스코어입력'!$I$4:$I$213,0)),"")</x:f>
        <x:v/>
      </x:c>
      <x:c r="S56" s="10" t="str">
        <x:f>IFERROR(INDEX('4_스코어입력'!$F$4:$F$213,MATCH(Q56,'4_스코어입력'!$I$4:$I$213,0)),"")</x:f>
        <x:v/>
      </x:c>
      <x:c r="T56" s="10" t="str">
        <x:f>IFERROR(INDEX('4_스코어입력'!$A$4:$A$213,MATCH(Q56,'4_스코어입력'!$I$4:$I$213,0)),"")</x:f>
        <x:v/>
      </x:c>
    </x:row>
    <x:row r="57" spans="17:20">
      <x:c r="Q57" s="10">
        <x:v>54</x:v>
      </x:c>
      <x:c r="R57" s="10" t="str">
        <x:f>IFERROR(INDEX('4_스코어입력'!$B$4:$B$213,MATCH(Q57,'4_스코어입력'!$I$4:$I$213,0)),"")</x:f>
        <x:v/>
      </x:c>
      <x:c r="S57" s="10" t="str">
        <x:f>IFERROR(INDEX('4_스코어입력'!$F$4:$F$213,MATCH(Q57,'4_스코어입력'!$I$4:$I$213,0)),"")</x:f>
        <x:v/>
      </x:c>
      <x:c r="T57" s="10" t="str">
        <x:f>IFERROR(INDEX('4_스코어입력'!$A$4:$A$213,MATCH(Q57,'4_스코어입력'!$I$4:$I$213,0)),"")</x:f>
        <x:v/>
      </x:c>
    </x:row>
    <x:row r="58" spans="17:20">
      <x:c r="Q58" s="10">
        <x:v>55</x:v>
      </x:c>
      <x:c r="R58" s="10" t="str">
        <x:f>IFERROR(INDEX('4_스코어입력'!$B$4:$B$213,MATCH(Q58,'4_스코어입력'!$I$4:$I$213,0)),"")</x:f>
        <x:v/>
      </x:c>
      <x:c r="S58" s="10" t="str">
        <x:f>IFERROR(INDEX('4_스코어입력'!$F$4:$F$213,MATCH(Q58,'4_스코어입력'!$I$4:$I$213,0)),"")</x:f>
        <x:v/>
      </x:c>
      <x:c r="T58" s="10" t="str">
        <x:f>IFERROR(INDEX('4_스코어입력'!$A$4:$A$213,MATCH(Q58,'4_스코어입력'!$I$4:$I$213,0)),"")</x:f>
        <x:v/>
      </x:c>
    </x:row>
    <x:row r="59" spans="17:20">
      <x:c r="Q59" s="10">
        <x:v>56</x:v>
      </x:c>
      <x:c r="R59" s="10" t="str">
        <x:f>IFERROR(INDEX('4_스코어입력'!$B$4:$B$213,MATCH(Q59,'4_스코어입력'!$I$4:$I$213,0)),"")</x:f>
        <x:v/>
      </x:c>
      <x:c r="S59" s="10" t="str">
        <x:f>IFERROR(INDEX('4_스코어입력'!$F$4:$F$213,MATCH(Q59,'4_스코어입력'!$I$4:$I$213,0)),"")</x:f>
        <x:v/>
      </x:c>
      <x:c r="T59" s="10" t="str">
        <x:f>IFERROR(INDEX('4_스코어입력'!$A$4:$A$213,MATCH(Q59,'4_스코어입력'!$I$4:$I$213,0)),"")</x:f>
        <x:v/>
      </x:c>
    </x:row>
    <x:row r="60" spans="17:20">
      <x:c r="Q60" s="10">
        <x:v>57</x:v>
      </x:c>
      <x:c r="R60" s="10" t="str">
        <x:f>IFERROR(INDEX('4_스코어입력'!$B$4:$B$213,MATCH(Q60,'4_스코어입력'!$I$4:$I$213,0)),"")</x:f>
        <x:v/>
      </x:c>
      <x:c r="S60" s="10" t="str">
        <x:f>IFERROR(INDEX('4_스코어입력'!$F$4:$F$213,MATCH(Q60,'4_스코어입력'!$I$4:$I$213,0)),"")</x:f>
        <x:v/>
      </x:c>
      <x:c r="T60" s="10" t="str">
        <x:f>IFERROR(INDEX('4_스코어입력'!$A$4:$A$213,MATCH(Q60,'4_스코어입력'!$I$4:$I$213,0)),"")</x:f>
        <x:v/>
      </x:c>
    </x:row>
    <x:row r="61" spans="17:20">
      <x:c r="Q61" s="10">
        <x:v>58</x:v>
      </x:c>
      <x:c r="R61" s="10" t="str">
        <x:f>IFERROR(INDEX('4_스코어입력'!$B$4:$B$213,MATCH(Q61,'4_스코어입력'!$I$4:$I$213,0)),"")</x:f>
        <x:v/>
      </x:c>
      <x:c r="S61" s="10" t="str">
        <x:f>IFERROR(INDEX('4_스코어입력'!$F$4:$F$213,MATCH(Q61,'4_스코어입력'!$I$4:$I$213,0)),"")</x:f>
        <x:v/>
      </x:c>
      <x:c r="T61" s="10" t="str">
        <x:f>IFERROR(INDEX('4_스코어입력'!$A$4:$A$213,MATCH(Q61,'4_스코어입력'!$I$4:$I$213,0)),"")</x:f>
        <x:v/>
      </x:c>
    </x:row>
    <x:row r="62" spans="17:20">
      <x:c r="Q62" s="10">
        <x:v>59</x:v>
      </x:c>
      <x:c r="R62" s="10" t="str">
        <x:f>IFERROR(INDEX('4_스코어입력'!$B$4:$B$213,MATCH(Q62,'4_스코어입력'!$I$4:$I$213,0)),"")</x:f>
        <x:v/>
      </x:c>
      <x:c r="S62" s="10" t="str">
        <x:f>IFERROR(INDEX('4_스코어입력'!$F$4:$F$213,MATCH(Q62,'4_스코어입력'!$I$4:$I$213,0)),"")</x:f>
        <x:v/>
      </x:c>
      <x:c r="T62" s="10" t="str">
        <x:f>IFERROR(INDEX('4_스코어입력'!$A$4:$A$213,MATCH(Q62,'4_스코어입력'!$I$4:$I$213,0)),"")</x:f>
        <x:v/>
      </x:c>
    </x:row>
    <x:row r="63" spans="17:20">
      <x:c r="Q63" s="10">
        <x:v>60</x:v>
      </x:c>
      <x:c r="R63" s="10" t="str">
        <x:f>IFERROR(INDEX('4_스코어입력'!$B$4:$B$213,MATCH(Q63,'4_스코어입력'!$I$4:$I$213,0)),"")</x:f>
        <x:v/>
      </x:c>
      <x:c r="S63" s="10" t="str">
        <x:f>IFERROR(INDEX('4_스코어입력'!$F$4:$F$213,MATCH(Q63,'4_스코어입력'!$I$4:$I$213,0)),"")</x:f>
        <x:v/>
      </x:c>
      <x:c r="T63" s="10" t="str">
        <x:f>IFERROR(INDEX('4_스코어입력'!$A$4:$A$213,MATCH(Q63,'4_스코어입력'!$I$4:$I$213,0)),"")</x:f>
        <x:v/>
      </x:c>
    </x:row>
    <x:row r="64" spans="17:20">
      <x:c r="Q64" s="10">
        <x:v>61</x:v>
      </x:c>
      <x:c r="R64" s="10" t="str">
        <x:f>IFERROR(INDEX('4_스코어입력'!$B$4:$B$213,MATCH(Q64,'4_스코어입력'!$I$4:$I$213,0)),"")</x:f>
        <x:v/>
      </x:c>
      <x:c r="S64" s="10" t="str">
        <x:f>IFERROR(INDEX('4_스코어입력'!$F$4:$F$213,MATCH(Q64,'4_스코어입력'!$I$4:$I$213,0)),"")</x:f>
        <x:v/>
      </x:c>
      <x:c r="T64" s="10" t="str">
        <x:f>IFERROR(INDEX('4_스코어입력'!$A$4:$A$213,MATCH(Q64,'4_스코어입력'!$I$4:$I$213,0)),"")</x:f>
        <x:v/>
      </x:c>
    </x:row>
    <x:row r="65" spans="17:20">
      <x:c r="Q65" s="10">
        <x:v>62</x:v>
      </x:c>
      <x:c r="R65" s="10" t="str">
        <x:f>IFERROR(INDEX('4_스코어입력'!$B$4:$B$213,MATCH(Q65,'4_스코어입력'!$I$4:$I$213,0)),"")</x:f>
        <x:v/>
      </x:c>
      <x:c r="S65" s="10" t="str">
        <x:f>IFERROR(INDEX('4_스코어입력'!$F$4:$F$213,MATCH(Q65,'4_스코어입력'!$I$4:$I$213,0)),"")</x:f>
        <x:v/>
      </x:c>
      <x:c r="T65" s="10" t="str">
        <x:f>IFERROR(INDEX('4_스코어입력'!$A$4:$A$213,MATCH(Q65,'4_스코어입력'!$I$4:$I$213,0)),"")</x:f>
        <x:v/>
      </x:c>
    </x:row>
    <x:row r="66" spans="17:20">
      <x:c r="Q66" s="10">
        <x:v>63</x:v>
      </x:c>
      <x:c r="R66" s="10" t="str">
        <x:f>IFERROR(INDEX('4_스코어입력'!$B$4:$B$213,MATCH(Q66,'4_스코어입력'!$I$4:$I$213,0)),"")</x:f>
        <x:v/>
      </x:c>
      <x:c r="S66" s="10" t="str">
        <x:f>IFERROR(INDEX('4_스코어입력'!$F$4:$F$213,MATCH(Q66,'4_스코어입력'!$I$4:$I$213,0)),"")</x:f>
        <x:v/>
      </x:c>
      <x:c r="T66" s="10" t="str">
        <x:f>IFERROR(INDEX('4_스코어입력'!$A$4:$A$213,MATCH(Q66,'4_스코어입력'!$I$4:$I$213,0)),"")</x:f>
        <x:v/>
      </x:c>
    </x:row>
    <x:row r="67" spans="17:20">
      <x:c r="Q67" s="10">
        <x:v>64</x:v>
      </x:c>
      <x:c r="R67" s="10" t="str">
        <x:f>IFERROR(INDEX('4_스코어입력'!$B$4:$B$213,MATCH(Q67,'4_스코어입력'!$I$4:$I$213,0)),"")</x:f>
        <x:v/>
      </x:c>
      <x:c r="S67" s="10" t="str">
        <x:f>IFERROR(INDEX('4_스코어입력'!$F$4:$F$213,MATCH(Q67,'4_스코어입력'!$I$4:$I$213,0)),"")</x:f>
        <x:v/>
      </x:c>
      <x:c r="T67" s="10" t="str">
        <x:f>IFERROR(INDEX('4_스코어입력'!$A$4:$A$213,MATCH(Q67,'4_스코어입력'!$I$4:$I$213,0)),"")</x:f>
        <x:v/>
      </x:c>
    </x:row>
    <x:row r="68" spans="17:20">
      <x:c r="Q68" s="10">
        <x:v>65</x:v>
      </x:c>
      <x:c r="R68" s="10" t="str">
        <x:f>IFERROR(INDEX('4_스코어입력'!$B$4:$B$213,MATCH(Q68,'4_스코어입력'!$I$4:$I$213,0)),"")</x:f>
        <x:v/>
      </x:c>
      <x:c r="S68" s="10" t="str">
        <x:f>IFERROR(INDEX('4_스코어입력'!$F$4:$F$213,MATCH(Q68,'4_스코어입력'!$I$4:$I$213,0)),"")</x:f>
        <x:v/>
      </x:c>
      <x:c r="T68" s="10" t="str">
        <x:f>IFERROR(INDEX('4_스코어입력'!$A$4:$A$213,MATCH(Q68,'4_스코어입력'!$I$4:$I$213,0)),"")</x:f>
        <x:v/>
      </x:c>
    </x:row>
    <x:row r="69" spans="17:20">
      <x:c r="Q69" s="10">
        <x:v>66</x:v>
      </x:c>
      <x:c r="R69" s="10" t="str">
        <x:f>IFERROR(INDEX('4_스코어입력'!$B$4:$B$213,MATCH(Q69,'4_스코어입력'!$I$4:$I$213,0)),"")</x:f>
        <x:v/>
      </x:c>
      <x:c r="S69" s="10" t="str">
        <x:f>IFERROR(INDEX('4_스코어입력'!$F$4:$F$213,MATCH(Q69,'4_스코어입력'!$I$4:$I$213,0)),"")</x:f>
        <x:v/>
      </x:c>
      <x:c r="T69" s="10" t="str">
        <x:f>IFERROR(INDEX('4_스코어입력'!$A$4:$A$213,MATCH(Q69,'4_스코어입력'!$I$4:$I$213,0)),"")</x:f>
        <x:v/>
      </x:c>
    </x:row>
    <x:row r="70" spans="17:20">
      <x:c r="Q70" s="10">
        <x:v>67</x:v>
      </x:c>
      <x:c r="R70" s="10" t="str">
        <x:f>IFERROR(INDEX('4_스코어입력'!$B$4:$B$213,MATCH(Q70,'4_스코어입력'!$I$4:$I$213,0)),"")</x:f>
        <x:v/>
      </x:c>
      <x:c r="S70" s="10" t="str">
        <x:f>IFERROR(INDEX('4_스코어입력'!$F$4:$F$213,MATCH(Q70,'4_스코어입력'!$I$4:$I$213,0)),"")</x:f>
        <x:v/>
      </x:c>
      <x:c r="T70" s="10" t="str">
        <x:f>IFERROR(INDEX('4_스코어입력'!$A$4:$A$213,MATCH(Q70,'4_스코어입력'!$I$4:$I$213,0)),"")</x:f>
        <x:v/>
      </x:c>
    </x:row>
    <x:row r="71" spans="17:20">
      <x:c r="Q71" s="10">
        <x:v>68</x:v>
      </x:c>
      <x:c r="R71" s="10" t="str">
        <x:f>IFERROR(INDEX('4_스코어입력'!$B$4:$B$213,MATCH(Q71,'4_스코어입력'!$I$4:$I$213,0)),"")</x:f>
        <x:v/>
      </x:c>
      <x:c r="S71" s="10" t="str">
        <x:f>IFERROR(INDEX('4_스코어입력'!$F$4:$F$213,MATCH(Q71,'4_스코어입력'!$I$4:$I$213,0)),"")</x:f>
        <x:v/>
      </x:c>
      <x:c r="T71" s="10" t="str">
        <x:f>IFERROR(INDEX('4_스코어입력'!$A$4:$A$213,MATCH(Q71,'4_스코어입력'!$I$4:$I$213,0)),"")</x:f>
        <x:v/>
      </x:c>
    </x:row>
    <x:row r="72" spans="17:20">
      <x:c r="Q72" s="10">
        <x:v>69</x:v>
      </x:c>
      <x:c r="R72" s="10" t="str">
        <x:f>IFERROR(INDEX('4_스코어입력'!$B$4:$B$213,MATCH(Q72,'4_스코어입력'!$I$4:$I$213,0)),"")</x:f>
        <x:v/>
      </x:c>
      <x:c r="S72" s="10" t="str">
        <x:f>IFERROR(INDEX('4_스코어입력'!$F$4:$F$213,MATCH(Q72,'4_스코어입력'!$I$4:$I$213,0)),"")</x:f>
        <x:v/>
      </x:c>
      <x:c r="T72" s="10" t="str">
        <x:f>IFERROR(INDEX('4_스코어입력'!$A$4:$A$213,MATCH(Q72,'4_스코어입력'!$I$4:$I$213,0)),"")</x:f>
        <x:v/>
      </x:c>
    </x:row>
    <x:row r="73" spans="17:20">
      <x:c r="Q73" s="10">
        <x:v>70</x:v>
      </x:c>
      <x:c r="R73" s="10" t="str">
        <x:f>IFERROR(INDEX('4_스코어입력'!$B$4:$B$213,MATCH(Q73,'4_스코어입력'!$I$4:$I$213,0)),"")</x:f>
        <x:v/>
      </x:c>
      <x:c r="S73" s="10" t="str">
        <x:f>IFERROR(INDEX('4_스코어입력'!$F$4:$F$213,MATCH(Q73,'4_스코어입력'!$I$4:$I$213,0)),"")</x:f>
        <x:v/>
      </x:c>
      <x:c r="T73" s="10" t="str">
        <x:f>IFERROR(INDEX('4_스코어입력'!$A$4:$A$213,MATCH(Q73,'4_스코어입력'!$I$4:$I$213,0)),"")</x:f>
        <x:v/>
      </x:c>
    </x:row>
    <x:row r="74" spans="17:20">
      <x:c r="Q74" s="10">
        <x:v>71</x:v>
      </x:c>
      <x:c r="R74" s="10" t="str">
        <x:f>IFERROR(INDEX('4_스코어입력'!$B$4:$B$213,MATCH(Q74,'4_스코어입력'!$I$4:$I$213,0)),"")</x:f>
        <x:v/>
      </x:c>
      <x:c r="S74" s="10" t="str">
        <x:f>IFERROR(INDEX('4_스코어입력'!$F$4:$F$213,MATCH(Q74,'4_스코어입력'!$I$4:$I$213,0)),"")</x:f>
        <x:v/>
      </x:c>
      <x:c r="T74" s="10" t="str">
        <x:f>IFERROR(INDEX('4_스코어입력'!$A$4:$A$213,MATCH(Q74,'4_스코어입력'!$I$4:$I$213,0)),"")</x:f>
        <x:v/>
      </x:c>
    </x:row>
    <x:row r="75" spans="17:20">
      <x:c r="Q75" s="10">
        <x:v>72</x:v>
      </x:c>
      <x:c r="R75" s="10" t="str">
        <x:f>IFERROR(INDEX('4_스코어입력'!$B$4:$B$213,MATCH(Q75,'4_스코어입력'!$I$4:$I$213,0)),"")</x:f>
        <x:v/>
      </x:c>
      <x:c r="S75" s="10" t="str">
        <x:f>IFERROR(INDEX('4_스코어입력'!$F$4:$F$213,MATCH(Q75,'4_스코어입력'!$I$4:$I$213,0)),"")</x:f>
        <x:v/>
      </x:c>
      <x:c r="T75" s="10" t="str">
        <x:f>IFERROR(INDEX('4_스코어입력'!$A$4:$A$213,MATCH(Q75,'4_스코어입력'!$I$4:$I$213,0)),"")</x:f>
        <x:v/>
      </x:c>
    </x:row>
    <x:row r="76" spans="17:20">
      <x:c r="Q76" s="10">
        <x:v>73</x:v>
      </x:c>
      <x:c r="R76" s="10" t="str">
        <x:f>IFERROR(INDEX('4_스코어입력'!$B$4:$B$213,MATCH(Q76,'4_스코어입력'!$I$4:$I$213,0)),"")</x:f>
        <x:v/>
      </x:c>
      <x:c r="S76" s="10" t="str">
        <x:f>IFERROR(INDEX('4_스코어입력'!$F$4:$F$213,MATCH(Q76,'4_스코어입력'!$I$4:$I$213,0)),"")</x:f>
        <x:v/>
      </x:c>
      <x:c r="T76" s="10" t="str">
        <x:f>IFERROR(INDEX('4_스코어입력'!$A$4:$A$213,MATCH(Q76,'4_스코어입력'!$I$4:$I$213,0)),"")</x:f>
        <x:v/>
      </x:c>
    </x:row>
    <x:row r="77" spans="17:20">
      <x:c r="Q77" s="10">
        <x:v>74</x:v>
      </x:c>
      <x:c r="R77" s="10" t="str">
        <x:f>IFERROR(INDEX('4_스코어입력'!$B$4:$B$213,MATCH(Q77,'4_스코어입력'!$I$4:$I$213,0)),"")</x:f>
        <x:v/>
      </x:c>
      <x:c r="S77" s="10" t="str">
        <x:f>IFERROR(INDEX('4_스코어입력'!$F$4:$F$213,MATCH(Q77,'4_스코어입력'!$I$4:$I$213,0)),"")</x:f>
        <x:v/>
      </x:c>
      <x:c r="T77" s="10" t="str">
        <x:f>IFERROR(INDEX('4_스코어입력'!$A$4:$A$213,MATCH(Q77,'4_스코어입력'!$I$4:$I$213,0)),"")</x:f>
        <x:v/>
      </x:c>
    </x:row>
    <x:row r="78" spans="17:20">
      <x:c r="Q78" s="10">
        <x:v>75</x:v>
      </x:c>
      <x:c r="R78" s="10" t="str">
        <x:f>IFERROR(INDEX('4_스코어입력'!$B$4:$B$213,MATCH(Q78,'4_스코어입력'!$I$4:$I$213,0)),"")</x:f>
        <x:v/>
      </x:c>
      <x:c r="S78" s="10" t="str">
        <x:f>IFERROR(INDEX('4_스코어입력'!$F$4:$F$213,MATCH(Q78,'4_스코어입력'!$I$4:$I$213,0)),"")</x:f>
        <x:v/>
      </x:c>
      <x:c r="T78" s="10" t="str">
        <x:f>IFERROR(INDEX('4_스코어입력'!$A$4:$A$213,MATCH(Q78,'4_스코어입력'!$I$4:$I$213,0)),"")</x:f>
        <x:v/>
      </x:c>
    </x:row>
    <x:row r="79" spans="17:20">
      <x:c r="Q79" s="10">
        <x:v>76</x:v>
      </x:c>
      <x:c r="R79" s="10" t="str">
        <x:f>IFERROR(INDEX('4_스코어입력'!$B$4:$B$213,MATCH(Q79,'4_스코어입력'!$I$4:$I$213,0)),"")</x:f>
        <x:v/>
      </x:c>
      <x:c r="S79" s="10" t="str">
        <x:f>IFERROR(INDEX('4_스코어입력'!$F$4:$F$213,MATCH(Q79,'4_스코어입력'!$I$4:$I$213,0)),"")</x:f>
        <x:v/>
      </x:c>
      <x:c r="T79" s="10" t="str">
        <x:f>IFERROR(INDEX('4_스코어입력'!$A$4:$A$213,MATCH(Q79,'4_스코어입력'!$I$4:$I$213,0)),"")</x:f>
        <x:v/>
      </x:c>
    </x:row>
    <x:row r="80" spans="17:20">
      <x:c r="Q80" s="10">
        <x:v>77</x:v>
      </x:c>
      <x:c r="R80" s="10" t="str">
        <x:f>IFERROR(INDEX('4_스코어입력'!$B$4:$B$213,MATCH(Q80,'4_스코어입력'!$I$4:$I$213,0)),"")</x:f>
        <x:v/>
      </x:c>
      <x:c r="S80" s="10" t="str">
        <x:f>IFERROR(INDEX('4_스코어입력'!$F$4:$F$213,MATCH(Q80,'4_스코어입력'!$I$4:$I$213,0)),"")</x:f>
        <x:v/>
      </x:c>
      <x:c r="T80" s="10" t="str">
        <x:f>IFERROR(INDEX('4_스코어입력'!$A$4:$A$213,MATCH(Q80,'4_스코어입력'!$I$4:$I$213,0)),"")</x:f>
        <x:v/>
      </x:c>
    </x:row>
    <x:row r="81" spans="17:20">
      <x:c r="Q81" s="10">
        <x:v>78</x:v>
      </x:c>
      <x:c r="R81" s="10" t="str">
        <x:f>IFERROR(INDEX('4_스코어입력'!$B$4:$B$213,MATCH(Q81,'4_스코어입력'!$I$4:$I$213,0)),"")</x:f>
        <x:v/>
      </x:c>
      <x:c r="S81" s="10" t="str">
        <x:f>IFERROR(INDEX('4_스코어입력'!$F$4:$F$213,MATCH(Q81,'4_스코어입력'!$I$4:$I$213,0)),"")</x:f>
        <x:v/>
      </x:c>
      <x:c r="T81" s="10" t="str">
        <x:f>IFERROR(INDEX('4_스코어입력'!$A$4:$A$213,MATCH(Q81,'4_스코어입력'!$I$4:$I$213,0)),"")</x:f>
        <x:v/>
      </x:c>
    </x:row>
    <x:row r="82" spans="17:20">
      <x:c r="Q82" s="10">
        <x:v>79</x:v>
      </x:c>
      <x:c r="R82" s="10" t="str">
        <x:f>IFERROR(INDEX('4_스코어입력'!$B$4:$B$213,MATCH(Q82,'4_스코어입력'!$I$4:$I$213,0)),"")</x:f>
        <x:v/>
      </x:c>
      <x:c r="S82" s="10" t="str">
        <x:f>IFERROR(INDEX('4_스코어입력'!$F$4:$F$213,MATCH(Q82,'4_스코어입력'!$I$4:$I$213,0)),"")</x:f>
        <x:v/>
      </x:c>
      <x:c r="T82" s="10" t="str">
        <x:f>IFERROR(INDEX('4_스코어입력'!$A$4:$A$213,MATCH(Q82,'4_스코어입력'!$I$4:$I$213,0)),"")</x:f>
        <x:v/>
      </x:c>
    </x:row>
    <x:row r="83" spans="17:20">
      <x:c r="Q83" s="10">
        <x:v>80</x:v>
      </x:c>
      <x:c r="R83" s="10" t="str">
        <x:f>IFERROR(INDEX('4_스코어입력'!$B$4:$B$213,MATCH(Q83,'4_스코어입력'!$I$4:$I$213,0)),"")</x:f>
        <x:v/>
      </x:c>
      <x:c r="S83" s="10" t="str">
        <x:f>IFERROR(INDEX('4_스코어입력'!$F$4:$F$213,MATCH(Q83,'4_스코어입력'!$I$4:$I$213,0)),"")</x:f>
        <x:v/>
      </x:c>
      <x:c r="T83" s="10" t="str">
        <x:f>IFERROR(INDEX('4_스코어입력'!$A$4:$A$213,MATCH(Q83,'4_스코어입력'!$I$4:$I$213,0)),"")</x:f>
        <x:v/>
      </x:c>
    </x:row>
    <x:row r="84" spans="17:20">
      <x:c r="Q84" s="10">
        <x:v>81</x:v>
      </x:c>
      <x:c r="R84" s="10" t="str">
        <x:f>IFERROR(INDEX('4_스코어입력'!$B$4:$B$213,MATCH(Q84,'4_스코어입력'!$I$4:$I$213,0)),"")</x:f>
        <x:v/>
      </x:c>
      <x:c r="S84" s="10" t="str">
        <x:f>IFERROR(INDEX('4_스코어입력'!$F$4:$F$213,MATCH(Q84,'4_스코어입력'!$I$4:$I$213,0)),"")</x:f>
        <x:v/>
      </x:c>
      <x:c r="T84" s="10" t="str">
        <x:f>IFERROR(INDEX('4_스코어입력'!$A$4:$A$213,MATCH(Q84,'4_스코어입력'!$I$4:$I$213,0)),"")</x:f>
        <x:v/>
      </x:c>
    </x:row>
    <x:row r="85" spans="17:20">
      <x:c r="Q85" s="10">
        <x:v>82</x:v>
      </x:c>
      <x:c r="R85" s="10" t="str">
        <x:f>IFERROR(INDEX('4_스코어입력'!$B$4:$B$213,MATCH(Q85,'4_스코어입력'!$I$4:$I$213,0)),"")</x:f>
        <x:v/>
      </x:c>
      <x:c r="S85" s="10" t="str">
        <x:f>IFERROR(INDEX('4_스코어입력'!$F$4:$F$213,MATCH(Q85,'4_스코어입력'!$I$4:$I$213,0)),"")</x:f>
        <x:v/>
      </x:c>
      <x:c r="T85" s="10" t="str">
        <x:f>IFERROR(INDEX('4_스코어입력'!$A$4:$A$213,MATCH(Q85,'4_스코어입력'!$I$4:$I$213,0)),"")</x:f>
        <x:v/>
      </x:c>
    </x:row>
    <x:row r="86" spans="17:20">
      <x:c r="Q86" s="10">
        <x:v>83</x:v>
      </x:c>
      <x:c r="R86" s="10" t="str">
        <x:f>IFERROR(INDEX('4_스코어입력'!$B$4:$B$213,MATCH(Q86,'4_스코어입력'!$I$4:$I$213,0)),"")</x:f>
        <x:v/>
      </x:c>
      <x:c r="S86" s="10" t="str">
        <x:f>IFERROR(INDEX('4_스코어입력'!$F$4:$F$213,MATCH(Q86,'4_스코어입력'!$I$4:$I$213,0)),"")</x:f>
        <x:v/>
      </x:c>
      <x:c r="T86" s="10" t="str">
        <x:f>IFERROR(INDEX('4_스코어입력'!$A$4:$A$213,MATCH(Q86,'4_스코어입력'!$I$4:$I$213,0)),"")</x:f>
        <x:v/>
      </x:c>
    </x:row>
    <x:row r="87" spans="17:20">
      <x:c r="Q87" s="10">
        <x:v>84</x:v>
      </x:c>
      <x:c r="R87" s="10" t="str">
        <x:f>IFERROR(INDEX('4_스코어입력'!$B$4:$B$213,MATCH(Q87,'4_스코어입력'!$I$4:$I$213,0)),"")</x:f>
        <x:v/>
      </x:c>
      <x:c r="S87" s="10" t="str">
        <x:f>IFERROR(INDEX('4_스코어입력'!$F$4:$F$213,MATCH(Q87,'4_스코어입력'!$I$4:$I$213,0)),"")</x:f>
        <x:v/>
      </x:c>
      <x:c r="T87" s="10" t="str">
        <x:f>IFERROR(INDEX('4_스코어입력'!$A$4:$A$213,MATCH(Q87,'4_스코어입력'!$I$4:$I$213,0)),"")</x:f>
        <x:v/>
      </x:c>
    </x:row>
    <x:row r="88" spans="17:20">
      <x:c r="Q88" s="10">
        <x:v>85</x:v>
      </x:c>
      <x:c r="R88" s="10" t="str">
        <x:f>IFERROR(INDEX('4_스코어입력'!$B$4:$B$213,MATCH(Q88,'4_스코어입력'!$I$4:$I$213,0)),"")</x:f>
        <x:v/>
      </x:c>
      <x:c r="S88" s="10" t="str">
        <x:f>IFERROR(INDEX('4_스코어입력'!$F$4:$F$213,MATCH(Q88,'4_스코어입력'!$I$4:$I$213,0)),"")</x:f>
        <x:v/>
      </x:c>
      <x:c r="T88" s="10" t="str">
        <x:f>IFERROR(INDEX('4_스코어입력'!$A$4:$A$213,MATCH(Q88,'4_스코어입력'!$I$4:$I$213,0)),"")</x:f>
        <x:v/>
      </x:c>
    </x:row>
    <x:row r="89" spans="17:20">
      <x:c r="Q89" s="10">
        <x:v>86</x:v>
      </x:c>
      <x:c r="R89" s="10" t="str">
        <x:f>IFERROR(INDEX('4_스코어입력'!$B$4:$B$213,MATCH(Q89,'4_스코어입력'!$I$4:$I$213,0)),"")</x:f>
        <x:v/>
      </x:c>
      <x:c r="S89" s="10" t="str">
        <x:f>IFERROR(INDEX('4_스코어입력'!$F$4:$F$213,MATCH(Q89,'4_스코어입력'!$I$4:$I$213,0)),"")</x:f>
        <x:v/>
      </x:c>
      <x:c r="T89" s="10" t="str">
        <x:f>IFERROR(INDEX('4_스코어입력'!$A$4:$A$213,MATCH(Q89,'4_스코어입력'!$I$4:$I$213,0)),"")</x:f>
        <x:v/>
      </x:c>
    </x:row>
    <x:row r="90" spans="17:20">
      <x:c r="Q90" s="10">
        <x:v>87</x:v>
      </x:c>
      <x:c r="R90" s="10" t="str">
        <x:f>IFERROR(INDEX('4_스코어입력'!$B$4:$B$213,MATCH(Q90,'4_스코어입력'!$I$4:$I$213,0)),"")</x:f>
        <x:v/>
      </x:c>
      <x:c r="S90" s="10" t="str">
        <x:f>IFERROR(INDEX('4_스코어입력'!$F$4:$F$213,MATCH(Q90,'4_스코어입력'!$I$4:$I$213,0)),"")</x:f>
        <x:v/>
      </x:c>
      <x:c r="T90" s="10" t="str">
        <x:f>IFERROR(INDEX('4_스코어입력'!$A$4:$A$213,MATCH(Q90,'4_스코어입력'!$I$4:$I$213,0)),"")</x:f>
        <x:v/>
      </x:c>
    </x:row>
    <x:row r="91" spans="17:20">
      <x:c r="Q91" s="10">
        <x:v>88</x:v>
      </x:c>
      <x:c r="R91" s="10" t="str">
        <x:f>IFERROR(INDEX('4_스코어입력'!$B$4:$B$213,MATCH(Q91,'4_스코어입력'!$I$4:$I$213,0)),"")</x:f>
        <x:v/>
      </x:c>
      <x:c r="S91" s="10" t="str">
        <x:f>IFERROR(INDEX('4_스코어입력'!$F$4:$F$213,MATCH(Q91,'4_스코어입력'!$I$4:$I$213,0)),"")</x:f>
        <x:v/>
      </x:c>
      <x:c r="T91" s="10" t="str">
        <x:f>IFERROR(INDEX('4_스코어입력'!$A$4:$A$213,MATCH(Q91,'4_스코어입력'!$I$4:$I$213,0)),"")</x:f>
        <x:v/>
      </x:c>
    </x:row>
    <x:row r="92" spans="17:20">
      <x:c r="Q92" s="10">
        <x:v>89</x:v>
      </x:c>
      <x:c r="R92" s="10" t="str">
        <x:f>IFERROR(INDEX('4_스코어입력'!$B$4:$B$213,MATCH(Q92,'4_스코어입력'!$I$4:$I$213,0)),"")</x:f>
        <x:v/>
      </x:c>
      <x:c r="S92" s="10" t="str">
        <x:f>IFERROR(INDEX('4_스코어입력'!$F$4:$F$213,MATCH(Q92,'4_스코어입력'!$I$4:$I$213,0)),"")</x:f>
        <x:v/>
      </x:c>
      <x:c r="T92" s="10" t="str">
        <x:f>IFERROR(INDEX('4_스코어입력'!$A$4:$A$213,MATCH(Q92,'4_스코어입력'!$I$4:$I$213,0)),"")</x:f>
        <x:v/>
      </x:c>
    </x:row>
    <x:row r="93" spans="17:20">
      <x:c r="Q93" s="10">
        <x:v>90</x:v>
      </x:c>
      <x:c r="R93" s="10" t="str">
        <x:f>IFERROR(INDEX('4_스코어입력'!$B$4:$B$213,MATCH(Q93,'4_스코어입력'!$I$4:$I$213,0)),"")</x:f>
        <x:v/>
      </x:c>
      <x:c r="S93" s="10" t="str">
        <x:f>IFERROR(INDEX('4_스코어입력'!$F$4:$F$213,MATCH(Q93,'4_스코어입력'!$I$4:$I$213,0)),"")</x:f>
        <x:v/>
      </x:c>
      <x:c r="T93" s="10" t="str">
        <x:f>IFERROR(INDEX('4_스코어입력'!$A$4:$A$213,MATCH(Q93,'4_스코어입력'!$I$4:$I$213,0)),"")</x:f>
        <x:v/>
      </x:c>
    </x:row>
    <x:row r="94" spans="17:20">
      <x:c r="Q94" s="10">
        <x:v>91</x:v>
      </x:c>
      <x:c r="R94" s="10" t="str">
        <x:f>IFERROR(INDEX('4_스코어입력'!$B$4:$B$213,MATCH(Q94,'4_스코어입력'!$I$4:$I$213,0)),"")</x:f>
        <x:v/>
      </x:c>
      <x:c r="S94" s="10" t="str">
        <x:f>IFERROR(INDEX('4_스코어입력'!$F$4:$F$213,MATCH(Q94,'4_스코어입력'!$I$4:$I$213,0)),"")</x:f>
        <x:v/>
      </x:c>
      <x:c r="T94" s="10" t="str">
        <x:f>IFERROR(INDEX('4_스코어입력'!$A$4:$A$213,MATCH(Q94,'4_스코어입력'!$I$4:$I$213,0)),"")</x:f>
        <x:v/>
      </x:c>
    </x:row>
    <x:row r="95" spans="17:20">
      <x:c r="Q95" s="10">
        <x:v>92</x:v>
      </x:c>
      <x:c r="R95" s="10" t="str">
        <x:f>IFERROR(INDEX('4_스코어입력'!$B$4:$B$213,MATCH(Q95,'4_스코어입력'!$I$4:$I$213,0)),"")</x:f>
        <x:v/>
      </x:c>
      <x:c r="S95" s="10" t="str">
        <x:f>IFERROR(INDEX('4_스코어입력'!$F$4:$F$213,MATCH(Q95,'4_스코어입력'!$I$4:$I$213,0)),"")</x:f>
        <x:v/>
      </x:c>
      <x:c r="T95" s="10" t="str">
        <x:f>IFERROR(INDEX('4_스코어입력'!$A$4:$A$213,MATCH(Q95,'4_스코어입력'!$I$4:$I$213,0)),"")</x:f>
        <x:v/>
      </x:c>
    </x:row>
    <x:row r="96" spans="17:20">
      <x:c r="Q96" s="10">
        <x:v>93</x:v>
      </x:c>
      <x:c r="R96" s="10" t="str">
        <x:f>IFERROR(INDEX('4_스코어입력'!$B$4:$B$213,MATCH(Q96,'4_스코어입력'!$I$4:$I$213,0)),"")</x:f>
        <x:v/>
      </x:c>
      <x:c r="S96" s="10" t="str">
        <x:f>IFERROR(INDEX('4_스코어입력'!$F$4:$F$213,MATCH(Q96,'4_스코어입력'!$I$4:$I$213,0)),"")</x:f>
        <x:v/>
      </x:c>
      <x:c r="T96" s="10" t="str">
        <x:f>IFERROR(INDEX('4_스코어입력'!$A$4:$A$213,MATCH(Q96,'4_스코어입력'!$I$4:$I$213,0)),"")</x:f>
        <x:v/>
      </x:c>
    </x:row>
    <x:row r="97" spans="17:20">
      <x:c r="Q97" s="10">
        <x:v>94</x:v>
      </x:c>
      <x:c r="R97" s="10" t="str">
        <x:f>IFERROR(INDEX('4_스코어입력'!$B$4:$B$213,MATCH(Q97,'4_스코어입력'!$I$4:$I$213,0)),"")</x:f>
        <x:v/>
      </x:c>
      <x:c r="S97" s="10" t="str">
        <x:f>IFERROR(INDEX('4_스코어입력'!$F$4:$F$213,MATCH(Q97,'4_스코어입력'!$I$4:$I$213,0)),"")</x:f>
        <x:v/>
      </x:c>
      <x:c r="T97" s="10" t="str">
        <x:f>IFERROR(INDEX('4_스코어입력'!$A$4:$A$213,MATCH(Q97,'4_스코어입력'!$I$4:$I$213,0)),"")</x:f>
        <x:v/>
      </x:c>
    </x:row>
    <x:row r="98" spans="17:20">
      <x:c r="Q98" s="10">
        <x:v>95</x:v>
      </x:c>
      <x:c r="R98" s="10" t="str">
        <x:f>IFERROR(INDEX('4_스코어입력'!$B$4:$B$213,MATCH(Q98,'4_스코어입력'!$I$4:$I$213,0)),"")</x:f>
        <x:v/>
      </x:c>
      <x:c r="S98" s="10" t="str">
        <x:f>IFERROR(INDEX('4_스코어입력'!$F$4:$F$213,MATCH(Q98,'4_스코어입력'!$I$4:$I$213,0)),"")</x:f>
        <x:v/>
      </x:c>
      <x:c r="T98" s="10" t="str">
        <x:f>IFERROR(INDEX('4_스코어입력'!$A$4:$A$213,MATCH(Q98,'4_스코어입력'!$I$4:$I$213,0)),"")</x:f>
        <x:v/>
      </x:c>
    </x:row>
    <x:row r="99" spans="17:20">
      <x:c r="Q99" s="10">
        <x:v>96</x:v>
      </x:c>
      <x:c r="R99" s="10" t="str">
        <x:f>IFERROR(INDEX('4_스코어입력'!$B$4:$B$213,MATCH(Q99,'4_스코어입력'!$I$4:$I$213,0)),"")</x:f>
        <x:v/>
      </x:c>
      <x:c r="S99" s="10" t="str">
        <x:f>IFERROR(INDEX('4_스코어입력'!$F$4:$F$213,MATCH(Q99,'4_스코어입력'!$I$4:$I$213,0)),"")</x:f>
        <x:v/>
      </x:c>
      <x:c r="T99" s="10" t="str">
        <x:f>IFERROR(INDEX('4_스코어입력'!$A$4:$A$213,MATCH(Q99,'4_스코어입력'!$I$4:$I$213,0)),"")</x:f>
        <x:v/>
      </x:c>
    </x:row>
    <x:row r="100" spans="17:20">
      <x:c r="Q100" s="10">
        <x:v>97</x:v>
      </x:c>
      <x:c r="R100" s="10" t="str">
        <x:f>IFERROR(INDEX('4_스코어입력'!$B$4:$B$213,MATCH(Q100,'4_스코어입력'!$I$4:$I$213,0)),"")</x:f>
        <x:v/>
      </x:c>
      <x:c r="S100" s="10" t="str">
        <x:f>IFERROR(INDEX('4_스코어입력'!$F$4:$F$213,MATCH(Q100,'4_스코어입력'!$I$4:$I$213,0)),"")</x:f>
        <x:v/>
      </x:c>
      <x:c r="T100" s="10" t="str">
        <x:f>IFERROR(INDEX('4_스코어입력'!$A$4:$A$213,MATCH(Q100,'4_스코어입력'!$I$4:$I$213,0)),"")</x:f>
        <x:v/>
      </x:c>
    </x:row>
    <x:row r="101" spans="17:20">
      <x:c r="Q101" s="10">
        <x:v>98</x:v>
      </x:c>
      <x:c r="R101" s="10" t="str">
        <x:f>IFERROR(INDEX('4_스코어입력'!$B$4:$B$213,MATCH(Q101,'4_스코어입력'!$I$4:$I$213,0)),"")</x:f>
        <x:v/>
      </x:c>
      <x:c r="S101" s="10" t="str">
        <x:f>IFERROR(INDEX('4_스코어입력'!$F$4:$F$213,MATCH(Q101,'4_스코어입력'!$I$4:$I$213,0)),"")</x:f>
        <x:v/>
      </x:c>
      <x:c r="T101" s="10" t="str">
        <x:f>IFERROR(INDEX('4_스코어입력'!$A$4:$A$213,MATCH(Q101,'4_스코어입력'!$I$4:$I$213,0)),"")</x:f>
        <x:v/>
      </x:c>
    </x:row>
    <x:row r="102" spans="17:20">
      <x:c r="Q102" s="10">
        <x:v>99</x:v>
      </x:c>
      <x:c r="R102" s="10" t="str">
        <x:f>IFERROR(INDEX('4_스코어입력'!$B$4:$B$213,MATCH(Q102,'4_스코어입력'!$I$4:$I$213,0)),"")</x:f>
        <x:v/>
      </x:c>
      <x:c r="S102" s="10" t="str">
        <x:f>IFERROR(INDEX('4_스코어입력'!$F$4:$F$213,MATCH(Q102,'4_스코어입력'!$I$4:$I$213,0)),"")</x:f>
        <x:v/>
      </x:c>
      <x:c r="T102" s="10" t="str">
        <x:f>IFERROR(INDEX('4_스코어입력'!$A$4:$A$213,MATCH(Q102,'4_스코어입력'!$I$4:$I$213,0)),"")</x:f>
        <x:v/>
      </x:c>
    </x:row>
    <x:row r="103" spans="17:20">
      <x:c r="Q103" s="10">
        <x:v>100</x:v>
      </x:c>
      <x:c r="R103" s="10" t="str">
        <x:f>IFERROR(INDEX('4_스코어입력'!$B$4:$B$213,MATCH(Q103,'4_스코어입력'!$I$4:$I$213,0)),"")</x:f>
        <x:v/>
      </x:c>
      <x:c r="S103" s="10" t="str">
        <x:f>IFERROR(INDEX('4_스코어입력'!$F$4:$F$213,MATCH(Q103,'4_스코어입력'!$I$4:$I$213,0)),"")</x:f>
        <x:v/>
      </x:c>
      <x:c r="T103" s="10" t="str">
        <x:f>IFERROR(INDEX('4_스코어입력'!$A$4:$A$213,MATCH(Q103,'4_스코어입력'!$I$4:$I$213,0)),"")</x:f>
        <x:v/>
      </x:c>
    </x:row>
    <x:row r="104" spans="17:20">
      <x:c r="Q104" s="10">
        <x:v>101</x:v>
      </x:c>
      <x:c r="R104" s="10" t="str">
        <x:f>IFERROR(INDEX('4_스코어입력'!$B$4:$B$213,MATCH(Q104,'4_스코어입력'!$I$4:$I$213,0)),"")</x:f>
        <x:v/>
      </x:c>
      <x:c r="S104" s="10" t="str">
        <x:f>IFERROR(INDEX('4_스코어입력'!$F$4:$F$213,MATCH(Q104,'4_스코어입력'!$I$4:$I$213,0)),"")</x:f>
        <x:v/>
      </x:c>
      <x:c r="T104" s="10" t="str">
        <x:f>IFERROR(INDEX('4_스코어입력'!$A$4:$A$213,MATCH(Q104,'4_스코어입력'!$I$4:$I$213,0)),"")</x:f>
        <x:v/>
      </x:c>
    </x:row>
    <x:row r="105" spans="17:20">
      <x:c r="Q105" s="10">
        <x:v>102</x:v>
      </x:c>
      <x:c r="R105" s="10" t="str">
        <x:f>IFERROR(INDEX('4_스코어입력'!$B$4:$B$213,MATCH(Q105,'4_스코어입력'!$I$4:$I$213,0)),"")</x:f>
        <x:v/>
      </x:c>
      <x:c r="S105" s="10" t="str">
        <x:f>IFERROR(INDEX('4_스코어입력'!$F$4:$F$213,MATCH(Q105,'4_스코어입력'!$I$4:$I$213,0)),"")</x:f>
        <x:v/>
      </x:c>
      <x:c r="T105" s="10" t="str">
        <x:f>IFERROR(INDEX('4_스코어입력'!$A$4:$A$213,MATCH(Q105,'4_스코어입력'!$I$4:$I$213,0)),"")</x:f>
        <x:v/>
      </x:c>
    </x:row>
    <x:row r="106" spans="17:20">
      <x:c r="Q106" s="10">
        <x:v>103</x:v>
      </x:c>
      <x:c r="R106" s="10" t="str">
        <x:f>IFERROR(INDEX('4_스코어입력'!$B$4:$B$213,MATCH(Q106,'4_스코어입력'!$I$4:$I$213,0)),"")</x:f>
        <x:v/>
      </x:c>
      <x:c r="S106" s="10" t="str">
        <x:f>IFERROR(INDEX('4_스코어입력'!$F$4:$F$213,MATCH(Q106,'4_스코어입력'!$I$4:$I$213,0)),"")</x:f>
        <x:v/>
      </x:c>
      <x:c r="T106" s="10" t="str">
        <x:f>IFERROR(INDEX('4_스코어입력'!$A$4:$A$213,MATCH(Q106,'4_스코어입력'!$I$4:$I$213,0)),"")</x:f>
        <x:v/>
      </x:c>
    </x:row>
    <x:row r="107" spans="17:20">
      <x:c r="Q107" s="10">
        <x:v>104</x:v>
      </x:c>
      <x:c r="R107" s="10" t="str">
        <x:f>IFERROR(INDEX('4_스코어입력'!$B$4:$B$213,MATCH(Q107,'4_스코어입력'!$I$4:$I$213,0)),"")</x:f>
        <x:v/>
      </x:c>
      <x:c r="S107" s="10" t="str">
        <x:f>IFERROR(INDEX('4_스코어입력'!$F$4:$F$213,MATCH(Q107,'4_스코어입력'!$I$4:$I$213,0)),"")</x:f>
        <x:v/>
      </x:c>
      <x:c r="T107" s="10" t="str">
        <x:f>IFERROR(INDEX('4_스코어입력'!$A$4:$A$213,MATCH(Q107,'4_스코어입력'!$I$4:$I$213,0)),"")</x:f>
        <x:v/>
      </x:c>
    </x:row>
  </x:sheetData>
  <x:autoFilter ref="A3:L29"/>
  <x:mergeCells count="1">
    <x:mergeCell ref="A1:L1"/>
  </x:mergeCells>
  <x:pageMargins left="0.30000001192092896" right="0.30000001192092896" top="0.5" bottom="0.5" header="0.5" footer="0.5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D13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8.796875" defaultRowHeight="16.399999999999999"/>
  <x:cols>
    <x:col min="1" max="1" width="22" customWidth="1"/>
    <x:col min="2" max="2" width="16" customWidth="1"/>
    <x:col min="3" max="3" width="22" customWidth="1"/>
    <x:col min="4" max="4" width="30" customWidth="1"/>
  </x:cols>
  <x:sheetData>
    <x:row r="1" spans="1:4" ht="28" customHeight="1">
      <x:c r="A1" s="14" t="s">
        <x:v>38</x:v>
      </x:c>
      <x:c r="B1" s="14"/>
      <x:c r="C1" s="14"/>
      <x:c r="D1" s="14"/>
    </x:row>
    <x:row r="3" spans="1:4">
      <x:c r="A3" s="2" t="s">
        <x:v>57</x:v>
      </x:c>
      <x:c r="B3" s="2" t="s">
        <x:v>59</x:v>
      </x:c>
      <x:c r="C3" s="2" t="s">
        <x:v>58</x:v>
      </x:c>
      <x:c r="D3" s="2" t="s">
        <x:v>56</x:v>
      </x:c>
    </x:row>
    <x:row r="4" spans="1:4">
      <x:c r="A4" s="3" t="s">
        <x:v>86</x:v>
      </x:c>
      <x:c r="B4" s="11">
        <x:f>COUNTA('1_참가선수입력'!E4:E213)</x:f>
        <x:v>0</x:v>
      </x:c>
      <x:c r="C4" s="3" t="s">
        <x:v>39</x:v>
      </x:c>
      <x:c r="D4" s="4" t="s">
        <x:v>90</x:v>
      </x:c>
    </x:row>
    <x:row r="5" spans="1:4">
      <x:c r="A5" s="3" t="s">
        <x:v>79</x:v>
      </x:c>
      <x:c r="B5" s="11">
        <x:f>COUNTIF('1_참가선수입력'!D4:D213,"남")</x:f>
        <x:v>0</x:v>
      </x:c>
      <x:c r="C5" s="3" t="s">
        <x:v>83</x:v>
      </x:c>
      <x:c r="D5" s="4"/>
    </x:row>
    <x:row r="6" spans="1:4">
      <x:c r="A6" s="3" t="s">
        <x:v>76</x:v>
      </x:c>
      <x:c r="B6" s="11">
        <x:f>COUNTIF('1_참가선수입력'!D4:D213,"여")</x:f>
        <x:v>0</x:v>
      </x:c>
      <x:c r="C6" s="3" t="s">
        <x:v>83</x:v>
      </x:c>
      <x:c r="D6" s="4"/>
    </x:row>
    <x:row r="7" spans="1:4">
      <x:c r="A7" s="3" t="s">
        <x:v>55</x:v>
      </x:c>
      <x:c r="B7" s="11">
        <x:f>COUNTIF('1_참가선수입력'!C4:C213,"중학생")</x:f>
        <x:v>0</x:v>
      </x:c>
      <x:c r="C7" s="3" t="s">
        <x:v>106</x:v>
      </x:c>
      <x:c r="D7" s="4"/>
    </x:row>
    <x:row r="8" spans="1:4">
      <x:c r="A8" s="3" t="s">
        <x:v>84</x:v>
      </x:c>
      <x:c r="B8" s="11">
        <x:f>COUNTIF('1_참가선수입력'!C4:C213,"고등학생")</x:f>
        <x:v>0</x:v>
      </x:c>
      <x:c r="C8" s="3" t="s">
        <x:v>106</x:v>
      </x:c>
      <x:c r="D8" s="4"/>
    </x:row>
    <x:row r="9" spans="1:4">
      <x:c r="A9" s="3" t="s">
        <x:v>42</x:v>
      </x:c>
      <x:c r="B9" s="11">
        <x:f>COUNTIF('1_참가선수입력'!L4:L213,"완료")</x:f>
        <x:v>0</x:v>
      </x:c>
      <x:c r="C9" s="3" t="s">
        <x:v>43</x:v>
      </x:c>
      <x:c r="D9" s="4"/>
    </x:row>
    <x:row r="10" spans="1:4">
      <x:c r="A10" s="3" t="s">
        <x:v>41</x:v>
      </x:c>
      <x:c r="B10" s="11">
        <x:f>COUNTIF('1_참가선수입력'!R4:R213,"완료")</x:f>
        <x:v>0</x:v>
      </x:c>
      <x:c r="C10" s="3" t="s">
        <x:v>100</x:v>
      </x:c>
      <x:c r="D10" s="4"/>
    </x:row>
    <x:row r="11" spans="1:4">
      <x:c r="A11" s="3" t="s">
        <x:v>40</x:v>
      </x:c>
      <x:c r="B11" s="11">
        <x:f>COUNTIF('1_참가선수입력'!R4:R213,"확인필요")</x:f>
        <x:v>210</x:v>
      </x:c>
      <x:c r="C11" s="3" t="s">
        <x:v>100</x:v>
      </x:c>
      <x:c r="D11" s="4"/>
    </x:row>
    <x:row r="12" spans="1:4">
      <x:c r="A12" s="3" t="s">
        <x:v>108</x:v>
      </x:c>
      <x:c r="B12" s="11">
        <x:f>COUNTIF('4_스코어입력'!J4:J213,"진출")</x:f>
        <x:v>0</x:v>
      </x:c>
      <x:c r="C12" s="3" t="s">
        <x:v>31</x:v>
      </x:c>
      <x:c r="D12" s="4"/>
    </x:row>
    <x:row r="13" spans="1:4">
      <x:c r="A13" s="3" t="s">
        <x:v>30</x:v>
      </x:c>
      <x:c r="B13" s="11">
        <x:f>210-COUNTA('1_참가선수입력'!E4:E213)</x:f>
        <x:v>210</x:v>
      </x:c>
      <x:c r="C13" s="3" t="s">
        <x:v>29</x:v>
      </x:c>
      <x:c r="D13" s="4"/>
    </x:row>
  </x:sheetData>
  <x:mergeCells count="1">
    <x:mergeCell ref="A1:D1"/>
  </x:mergeCells>
  <x:pageMargins left="0.30000001192092896" right="0.30000001192092896" top="0.5" bottom="0.5" header="0.5" footer="0.5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D9"/>
  <x:sheetViews>
    <x:sheetView showGridLines="0" topLeftCell="A1" zoomScaleNormal="100" zoomScaleSheetLayoutView="75" workbookViewId="0">
      <x:selection activeCell="A1" activeCellId="0" sqref="A1:A1"/>
    </x:sheetView>
  </x:sheetViews>
  <x:sheetFormatPr defaultColWidth="8.796875" defaultRowHeight="16.399999999999999"/>
  <x:cols>
    <x:col min="1" max="1" width="8" customWidth="1"/>
    <x:col min="2" max="2" width="42" customWidth="1"/>
    <x:col min="3" max="3" width="22" customWidth="1"/>
    <x:col min="4" max="4" width="36" customWidth="1"/>
  </x:cols>
  <x:sheetData>
    <x:row r="1" spans="1:4" ht="28" customHeight="1">
      <x:c r="A1" s="14" t="s">
        <x:v>44</x:v>
      </x:c>
      <x:c r="B1" s="14"/>
      <x:c r="C1" s="14"/>
      <x:c r="D1" s="14"/>
    </x:row>
    <x:row r="3" spans="1:4">
      <x:c r="A3" s="2" t="s">
        <x:v>63</x:v>
      </x:c>
      <x:c r="B3" s="12" t="s">
        <x:v>105</x:v>
      </x:c>
      <x:c r="C3" s="2" t="s">
        <x:v>92</x:v>
      </x:c>
      <x:c r="D3" s="2" t="s">
        <x:v>67</x:v>
      </x:c>
    </x:row>
    <x:row r="4" spans="1:4">
      <x:c r="A4" s="4" t="s">
        <x:v>60</x:v>
      </x:c>
      <x:c r="B4" s="13" t="s">
        <x:v>45</x:v>
      </x:c>
      <x:c r="C4" s="4" t="s">
        <x:v>34</x:v>
      </x:c>
      <x:c r="D4" s="4" t="s">
        <x:v>148</x:v>
      </x:c>
    </x:row>
    <x:row r="5" spans="1:4">
      <x:c r="A5" s="4" t="s">
        <x:v>61</x:v>
      </x:c>
      <x:c r="B5" s="13" t="s">
        <x:v>27</x:v>
      </x:c>
      <x:c r="C5" s="4" t="s">
        <x:v>32</x:v>
      </x:c>
      <x:c r="D5" s="4" t="s">
        <x:v>48</x:v>
      </x:c>
    </x:row>
    <x:row r="6" spans="1:4">
      <x:c r="A6" s="4" t="s">
        <x:v>64</x:v>
      </x:c>
      <x:c r="B6" s="13" t="s">
        <x:v>149</x:v>
      </x:c>
      <x:c r="C6" s="4" t="s">
        <x:v>33</x:v>
      </x:c>
      <x:c r="D6" s="4" t="s">
        <x:v>46</x:v>
      </x:c>
    </x:row>
    <x:row r="7" spans="1:4">
      <x:c r="A7" s="4" t="s">
        <x:v>65</x:v>
      </x:c>
      <x:c r="B7" s="13" t="s">
        <x:v>10</x:v>
      </x:c>
      <x:c r="C7" s="4" t="s">
        <x:v>93</x:v>
      </x:c>
      <x:c r="D7" s="4" t="s">
        <x:v>36</x:v>
      </x:c>
    </x:row>
    <x:row r="8" spans="1:4">
      <x:c r="A8" s="4" t="s">
        <x:v>66</x:v>
      </x:c>
      <x:c r="B8" s="13" t="s">
        <x:v>150</x:v>
      </x:c>
      <x:c r="C8" s="4" t="s">
        <x:v>35</x:v>
      </x:c>
      <x:c r="D8" s="4" t="s">
        <x:v>47</x:v>
      </x:c>
    </x:row>
    <x:row r="9" spans="1:4">
      <x:c r="A9" s="4" t="s">
        <x:v>62</x:v>
      </x:c>
      <x:c r="B9" s="13" t="s">
        <x:v>11</x:v>
      </x:c>
      <x:c r="C9" s="4" t="s">
        <x:v>109</x:v>
      </x:c>
      <x:c r="D9" s="4" t="s">
        <x:v>8</x:v>
      </x:c>
    </x:row>
  </x:sheetData>
  <x:mergeCells count="1">
    <x:mergeCell ref="A1:D1"/>
  </x:mergeCells>
  <x:pageMargins left="0.30000001192092896" right="0.30000001192092896" top="0.5" bottom="0.5" header="0.5" footer="0.5"/>
  <x:pageSetup paperSize="1" scale="100" firstPageNumber="1" fitToWidth="1" fitToHeight="1" orientation="landscape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7" baseType="lpstr">
      <vt:lpstr>1_참가선수입력</vt:lpstr>
      <vt:lpstr>2_1일차조편성</vt:lpstr>
      <vt:lpstr>3_입금비용체크</vt:lpstr>
      <vt:lpstr>4_스코어입력</vt:lpstr>
      <vt:lpstr>5_최종일조편성</vt:lpstr>
      <vt:lpstr>6_운영요약</vt:lpstr>
      <vt:lpstr>7_사용안내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golf6</cp:lastModifiedBy>
  <cp:revision>1</cp:revision>
  <dcterms:created xsi:type="dcterms:W3CDTF">2026-05-03T03:05:21.000</dcterms:created>
  <dcterms:modified xsi:type="dcterms:W3CDTF">2026-05-03T03:09:18.873</dcterms:modified>
  <cp:version>0906.0200.01</cp:version>
</cp:coreProperties>
</file>